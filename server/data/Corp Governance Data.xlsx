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C:\Users\DElks\AppData\Roaming\Repos\"/>
    </mc:Choice>
  </mc:AlternateContent>
  <xr:revisionPtr revIDLastSave="0" documentId="8_{A4AED518-457E-493C-86E0-59C665C6B1DD}" xr6:coauthVersionLast="47" xr6:coauthVersionMax="47" xr10:uidLastSave="{00000000-0000-0000-0000-000000000000}"/>
  <bookViews>
    <workbookView xWindow="-120" yWindow="-120" windowWidth="38490" windowHeight="200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S2" i="1"/>
  <c r="R2" i="1"/>
</calcChain>
</file>

<file path=xl/sharedStrings.xml><?xml version="1.0" encoding="utf-8"?>
<sst xmlns="http://schemas.openxmlformats.org/spreadsheetml/2006/main" count="109" uniqueCount="76">
  <si>
    <t>Corporate Finance Project</t>
  </si>
  <si>
    <t>Department</t>
  </si>
  <si>
    <t>UKGI NED</t>
  </si>
  <si>
    <t>Senior Advisor</t>
  </si>
  <si>
    <t>UKGI CEO</t>
  </si>
  <si>
    <t>UKGI Director</t>
  </si>
  <si>
    <t>UKGI Exec Director</t>
  </si>
  <si>
    <t>UKGI Asst Director</t>
  </si>
  <si>
    <t>UKGI Manager</t>
  </si>
  <si>
    <t>UKGI Analyst</t>
  </si>
  <si>
    <t>UKGI Senior Admin</t>
  </si>
  <si>
    <t>UKGI Junior Admin</t>
  </si>
  <si>
    <t>FTE Total</t>
  </si>
  <si>
    <t>Corporate finance central costs</t>
  </si>
  <si>
    <t>Central costs</t>
  </si>
  <si>
    <t>Total Weighted Salary Cost</t>
  </si>
  <si>
    <t>Total Weighted Cost</t>
  </si>
  <si>
    <t>Number of Contacts</t>
  </si>
  <si>
    <t>Number of Engagements</t>
  </si>
  <si>
    <t>PuFIns</t>
  </si>
  <si>
    <t>HMT</t>
  </si>
  <si>
    <t>Women's World Cup - DCMS</t>
  </si>
  <si>
    <t>DCMS</t>
  </si>
  <si>
    <t>Heathrow Airport (FT)</t>
  </si>
  <si>
    <t>DfT</t>
  </si>
  <si>
    <t>Sizewell C (Equity Raise)</t>
  </si>
  <si>
    <t>DESNZ</t>
  </si>
  <si>
    <t>SMR</t>
  </si>
  <si>
    <t>AUKUS</t>
  </si>
  <si>
    <t>MOD</t>
  </si>
  <si>
    <t>Nuclear fuels project</t>
  </si>
  <si>
    <t>NEST</t>
  </si>
  <si>
    <t>DWP</t>
  </si>
  <si>
    <t>Project and Investment Committee</t>
  </si>
  <si>
    <t>UKGI Defence Projects</t>
  </si>
  <si>
    <t>BBC Commercial</t>
  </si>
  <si>
    <t>Project Thimbleweed - DESNZ</t>
  </si>
  <si>
    <t>Motability</t>
  </si>
  <si>
    <t>Project Penguin/Falcon</t>
  </si>
  <si>
    <t>DSIT</t>
  </si>
  <si>
    <t>Private Finance in Defence</t>
  </si>
  <si>
    <t>General MOD JU Team Activity</t>
  </si>
  <si>
    <t>Arabelle</t>
  </si>
  <si>
    <t>NatWest Group</t>
  </si>
  <si>
    <t>UK Asset Resolution</t>
  </si>
  <si>
    <t>Able Seaton Port</t>
  </si>
  <si>
    <t>Woodland Carbon Purchase Fund (FT)</t>
  </si>
  <si>
    <t>DEFRA</t>
  </si>
  <si>
    <t>HE Transformation Fund (FT)</t>
  </si>
  <si>
    <t>DFE</t>
  </si>
  <si>
    <t>Warm Homes Plan (FT)</t>
  </si>
  <si>
    <t>MHCLG</t>
  </si>
  <si>
    <t>DCMS Loan Book</t>
  </si>
  <si>
    <t>Great British Energy (FT)</t>
  </si>
  <si>
    <t>RLI Aerospace</t>
  </si>
  <si>
    <t>DBT</t>
  </si>
  <si>
    <t>Subsea cables ship</t>
  </si>
  <si>
    <t>Defence Corporate Finance</t>
  </si>
  <si>
    <t>Fusion</t>
  </si>
  <si>
    <t>Industrial Strategy</t>
  </si>
  <si>
    <t>Sterling 20</t>
  </si>
  <si>
    <t>Cunliffe Review</t>
  </si>
  <si>
    <t>Lower Thames Crossing (LTC)</t>
  </si>
  <si>
    <t>DFT</t>
  </si>
  <si>
    <t>Project Electro</t>
  </si>
  <si>
    <t>Project Thimbleweed - MOD</t>
  </si>
  <si>
    <t xml:space="preserve">Sizewell B </t>
  </si>
  <si>
    <t>SSRO</t>
  </si>
  <si>
    <t>Strategic Sites Project (FT)</t>
  </si>
  <si>
    <t>Annington homes</t>
  </si>
  <si>
    <t>Defence projects nuclear - corporate finance</t>
  </si>
  <si>
    <t>Local Growth FT Programme (FT)</t>
  </si>
  <si>
    <t>Sustainability &amp; Culture</t>
  </si>
  <si>
    <t>Defence Investment Unit</t>
  </si>
  <si>
    <t>Able Humber Port - DESNZ</t>
  </si>
  <si>
    <t>Multilateral Defence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</si>
</sst>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6"/>
  <sheetViews>
    <sheetView tabSelected="1" topLeftCell="L1" workbookViewId="0">
      <selection activeCell="S2" sqref="S2"/>
    </sheetView>
  </sheetViews>
  <sheetFormatPr defaultColWidth="24.7265625"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19</v>
      </c>
      <c r="B2" t="s">
        <v>20</v>
      </c>
      <c r="C2">
        <v>0</v>
      </c>
      <c r="D2">
        <v>0</v>
      </c>
      <c r="E2">
        <v>0</v>
      </c>
      <c r="F2">
        <v>0</v>
      </c>
      <c r="G2">
        <v>0</v>
      </c>
      <c r="H2">
        <v>0.2</v>
      </c>
      <c r="I2">
        <v>0</v>
      </c>
      <c r="J2">
        <v>0</v>
      </c>
      <c r="K2">
        <v>0</v>
      </c>
      <c r="L2">
        <v>0</v>
      </c>
      <c r="M2">
        <v>0.2</v>
      </c>
      <c r="N2">
        <v>26.907783510802034</v>
      </c>
      <c r="O2">
        <v>1381.2113462050559</v>
      </c>
      <c r="P2">
        <v>2635.7163307614405</v>
      </c>
      <c r="Q2">
        <v>4043.8354604772985</v>
      </c>
      <c r="R2">
        <f ca="1">RANDBETWEEN(1, 10)</f>
        <v>5</v>
      </c>
      <c r="S2">
        <f ca="1">RANDBETWEEN(1, 50)</f>
        <v>13</v>
      </c>
    </row>
    <row r="3" spans="1:19" x14ac:dyDescent="0.35">
      <c r="A3" t="s">
        <v>21</v>
      </c>
      <c r="B3" t="s">
        <v>22</v>
      </c>
      <c r="C3">
        <v>0</v>
      </c>
      <c r="D3">
        <v>0</v>
      </c>
      <c r="E3">
        <v>0</v>
      </c>
      <c r="F3">
        <v>0</v>
      </c>
      <c r="G3">
        <v>0.1</v>
      </c>
      <c r="H3">
        <v>0</v>
      </c>
      <c r="I3">
        <v>0</v>
      </c>
      <c r="J3">
        <v>0</v>
      </c>
      <c r="K3">
        <v>0</v>
      </c>
      <c r="L3">
        <v>0</v>
      </c>
      <c r="M3">
        <v>0.1</v>
      </c>
      <c r="N3">
        <v>17.692876689478727</v>
      </c>
      <c r="O3">
        <v>910.19549110505227</v>
      </c>
      <c r="P3">
        <v>1736.8935801768716</v>
      </c>
      <c r="Q3">
        <v>2664.7819479714026</v>
      </c>
      <c r="R3">
        <f t="shared" ref="R3:R46" ca="1" si="0">RANDBETWEEN(1, 10)</f>
        <v>3</v>
      </c>
      <c r="S3">
        <f t="shared" ref="S3:S46" ca="1" si="1">RANDBETWEEN(1, 50)</f>
        <v>8</v>
      </c>
    </row>
    <row r="4" spans="1:19" x14ac:dyDescent="0.35">
      <c r="A4" t="s">
        <v>23</v>
      </c>
      <c r="B4" t="s">
        <v>24</v>
      </c>
      <c r="C4">
        <v>0</v>
      </c>
      <c r="D4">
        <v>0</v>
      </c>
      <c r="E4">
        <v>0</v>
      </c>
      <c r="F4">
        <v>0.1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0.1</v>
      </c>
      <c r="N4">
        <v>23.430668999461737</v>
      </c>
      <c r="O4">
        <v>1127.9291657407939</v>
      </c>
      <c r="P4">
        <v>2152.3869828128231</v>
      </c>
      <c r="Q4">
        <v>3303.7468175530785</v>
      </c>
      <c r="R4">
        <f t="shared" ca="1" si="0"/>
        <v>4</v>
      </c>
      <c r="S4">
        <f t="shared" ca="1" si="1"/>
        <v>14</v>
      </c>
    </row>
    <row r="5" spans="1:19" x14ac:dyDescent="0.35">
      <c r="A5" t="s">
        <v>25</v>
      </c>
      <c r="B5" t="s">
        <v>26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f t="shared" ca="1" si="0"/>
        <v>7</v>
      </c>
      <c r="S5">
        <f t="shared" ca="1" si="1"/>
        <v>10</v>
      </c>
    </row>
    <row r="6" spans="1:19" x14ac:dyDescent="0.35">
      <c r="A6" t="s">
        <v>27</v>
      </c>
      <c r="B6" t="s">
        <v>26</v>
      </c>
      <c r="C6">
        <v>0</v>
      </c>
      <c r="D6">
        <v>0</v>
      </c>
      <c r="E6">
        <v>0</v>
      </c>
      <c r="F6">
        <v>0.2</v>
      </c>
      <c r="G6">
        <v>0.5</v>
      </c>
      <c r="H6">
        <v>0.5</v>
      </c>
      <c r="I6">
        <v>0</v>
      </c>
      <c r="J6">
        <v>0.3</v>
      </c>
      <c r="K6">
        <v>0</v>
      </c>
      <c r="L6">
        <v>0</v>
      </c>
      <c r="M6">
        <v>1.5</v>
      </c>
      <c r="N6">
        <v>234.768075597175</v>
      </c>
      <c r="O6">
        <v>11630.99021749898</v>
      </c>
      <c r="P6">
        <v>22195.003641852076</v>
      </c>
      <c r="Q6">
        <v>34060.761934948227</v>
      </c>
      <c r="R6">
        <f t="shared" ca="1" si="0"/>
        <v>3</v>
      </c>
      <c r="S6">
        <f t="shared" ca="1" si="1"/>
        <v>25</v>
      </c>
    </row>
    <row r="7" spans="1:19" x14ac:dyDescent="0.35">
      <c r="A7" t="s">
        <v>28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0.5</v>
      </c>
      <c r="J7">
        <v>0</v>
      </c>
      <c r="K7">
        <v>0</v>
      </c>
      <c r="L7">
        <v>0</v>
      </c>
      <c r="M7">
        <v>0.5</v>
      </c>
      <c r="N7">
        <v>0</v>
      </c>
      <c r="O7">
        <v>0</v>
      </c>
      <c r="P7">
        <v>0</v>
      </c>
      <c r="Q7">
        <v>0</v>
      </c>
      <c r="R7">
        <f t="shared" ca="1" si="0"/>
        <v>10</v>
      </c>
      <c r="S7">
        <f t="shared" ca="1" si="1"/>
        <v>45</v>
      </c>
    </row>
    <row r="8" spans="1:19" x14ac:dyDescent="0.35">
      <c r="A8" t="s">
        <v>30</v>
      </c>
      <c r="B8" t="s">
        <v>29</v>
      </c>
      <c r="C8">
        <v>0</v>
      </c>
      <c r="D8">
        <v>0</v>
      </c>
      <c r="E8">
        <v>0</v>
      </c>
      <c r="F8">
        <v>0.35</v>
      </c>
      <c r="G8">
        <v>3.2</v>
      </c>
      <c r="H8">
        <v>3.75</v>
      </c>
      <c r="I8">
        <v>1.8</v>
      </c>
      <c r="J8">
        <v>0</v>
      </c>
      <c r="K8">
        <v>0</v>
      </c>
      <c r="L8">
        <v>0</v>
      </c>
      <c r="M8">
        <v>9.1000000000000014</v>
      </c>
      <c r="N8">
        <v>1382.3782168995995</v>
      </c>
      <c r="O8">
        <v>68252.796903652212</v>
      </c>
      <c r="P8">
        <v>130244.37709215911</v>
      </c>
      <c r="Q8">
        <v>199879.5522127109</v>
      </c>
      <c r="R8">
        <f t="shared" ca="1" si="0"/>
        <v>4</v>
      </c>
      <c r="S8">
        <f t="shared" ca="1" si="1"/>
        <v>34</v>
      </c>
    </row>
    <row r="9" spans="1:19" x14ac:dyDescent="0.35">
      <c r="A9" t="s">
        <v>31</v>
      </c>
      <c r="B9" t="s">
        <v>32</v>
      </c>
      <c r="C9">
        <v>0</v>
      </c>
      <c r="D9">
        <v>0</v>
      </c>
      <c r="E9">
        <v>0</v>
      </c>
      <c r="F9">
        <v>0</v>
      </c>
      <c r="G9">
        <v>0.2</v>
      </c>
      <c r="H9">
        <v>0.6</v>
      </c>
      <c r="I9">
        <v>0</v>
      </c>
      <c r="J9">
        <v>0</v>
      </c>
      <c r="K9">
        <v>0</v>
      </c>
      <c r="L9">
        <v>0.2</v>
      </c>
      <c r="M9">
        <v>1</v>
      </c>
      <c r="N9">
        <v>121.43279528356419</v>
      </c>
      <c r="O9">
        <v>6721.0441780110496</v>
      </c>
      <c r="P9">
        <v>12825.528800081893</v>
      </c>
      <c r="Q9">
        <v>19668.005773376506</v>
      </c>
      <c r="R9">
        <f t="shared" ca="1" si="0"/>
        <v>5</v>
      </c>
      <c r="S9">
        <f t="shared" ca="1" si="1"/>
        <v>11</v>
      </c>
    </row>
    <row r="10" spans="1:19" x14ac:dyDescent="0.35">
      <c r="A10" t="s">
        <v>33</v>
      </c>
      <c r="B10" t="s">
        <v>26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f t="shared" ca="1" si="0"/>
        <v>10</v>
      </c>
      <c r="S10">
        <f t="shared" ca="1" si="1"/>
        <v>48</v>
      </c>
    </row>
    <row r="11" spans="1:19" x14ac:dyDescent="0.35">
      <c r="A11" t="s">
        <v>34</v>
      </c>
      <c r="B11" t="s">
        <v>29</v>
      </c>
      <c r="C11">
        <v>0</v>
      </c>
      <c r="D11">
        <v>0</v>
      </c>
      <c r="E11">
        <v>0</v>
      </c>
      <c r="F11">
        <v>0.15</v>
      </c>
      <c r="G11">
        <v>0.15</v>
      </c>
      <c r="H11">
        <v>0</v>
      </c>
      <c r="I11">
        <v>0.1</v>
      </c>
      <c r="J11">
        <v>1</v>
      </c>
      <c r="K11">
        <v>0</v>
      </c>
      <c r="L11">
        <v>0.89999999999999991</v>
      </c>
      <c r="M11">
        <v>2.2999999999999998</v>
      </c>
      <c r="N11">
        <v>219.1656870835352</v>
      </c>
      <c r="O11">
        <v>11549.808762917128</v>
      </c>
      <c r="P11">
        <v>22040.087968603191</v>
      </c>
      <c r="Q11">
        <v>33809.062418603855</v>
      </c>
      <c r="R11">
        <f t="shared" ca="1" si="0"/>
        <v>8</v>
      </c>
      <c r="S11">
        <f t="shared" ca="1" si="1"/>
        <v>14</v>
      </c>
    </row>
    <row r="12" spans="1:19" x14ac:dyDescent="0.35">
      <c r="A12" t="s">
        <v>35</v>
      </c>
      <c r="B12" t="s">
        <v>22</v>
      </c>
      <c r="C12">
        <v>0</v>
      </c>
      <c r="D12">
        <v>0</v>
      </c>
      <c r="E12">
        <v>0</v>
      </c>
      <c r="F12">
        <v>0</v>
      </c>
      <c r="G12">
        <v>0.2</v>
      </c>
      <c r="H12">
        <v>0</v>
      </c>
      <c r="I12">
        <v>0.1</v>
      </c>
      <c r="J12">
        <v>0</v>
      </c>
      <c r="K12">
        <v>0</v>
      </c>
      <c r="L12">
        <v>0</v>
      </c>
      <c r="M12">
        <v>0.30000000000000004</v>
      </c>
      <c r="N12">
        <v>48.965840387611756</v>
      </c>
      <c r="O12">
        <v>2336.0063359241581</v>
      </c>
      <c r="P12">
        <v>4457.7175428469282</v>
      </c>
      <c r="Q12">
        <v>6842.6897191586977</v>
      </c>
      <c r="R12">
        <f t="shared" ca="1" si="0"/>
        <v>5</v>
      </c>
      <c r="S12">
        <f t="shared" ca="1" si="1"/>
        <v>4</v>
      </c>
    </row>
    <row r="13" spans="1:19" x14ac:dyDescent="0.35">
      <c r="A13" t="s">
        <v>36</v>
      </c>
      <c r="B13" t="s">
        <v>26</v>
      </c>
      <c r="C13">
        <v>0</v>
      </c>
      <c r="D13">
        <v>0</v>
      </c>
      <c r="E13">
        <v>0</v>
      </c>
      <c r="F13">
        <v>0.1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0.1</v>
      </c>
      <c r="N13">
        <v>23.430668999461737</v>
      </c>
      <c r="O13">
        <v>1127.9291657407939</v>
      </c>
      <c r="P13">
        <v>2152.3869828128231</v>
      </c>
      <c r="Q13">
        <v>3303.7468175530785</v>
      </c>
      <c r="R13">
        <f t="shared" ca="1" si="0"/>
        <v>8</v>
      </c>
      <c r="S13">
        <f t="shared" ca="1" si="1"/>
        <v>39</v>
      </c>
    </row>
    <row r="14" spans="1:19" x14ac:dyDescent="0.35">
      <c r="A14" t="s">
        <v>37</v>
      </c>
      <c r="B14" t="s">
        <v>32</v>
      </c>
      <c r="C14">
        <v>0</v>
      </c>
      <c r="D14">
        <v>0</v>
      </c>
      <c r="E14">
        <v>0</v>
      </c>
      <c r="F14">
        <v>0</v>
      </c>
      <c r="G14">
        <v>0.25</v>
      </c>
      <c r="H14">
        <v>0</v>
      </c>
      <c r="I14">
        <v>0.7</v>
      </c>
      <c r="J14">
        <v>0</v>
      </c>
      <c r="K14">
        <v>0</v>
      </c>
      <c r="L14">
        <v>0</v>
      </c>
      <c r="M14">
        <v>0.95</v>
      </c>
      <c r="N14">
        <v>125.48167584696296</v>
      </c>
      <c r="O14">
        <v>5884.7962037610041</v>
      </c>
      <c r="P14">
        <v>11229.74662789447</v>
      </c>
      <c r="Q14">
        <v>17240.024507502436</v>
      </c>
      <c r="R14">
        <f t="shared" ca="1" si="0"/>
        <v>1</v>
      </c>
      <c r="S14">
        <f t="shared" ca="1" si="1"/>
        <v>26</v>
      </c>
    </row>
    <row r="15" spans="1:19" x14ac:dyDescent="0.35">
      <c r="A15" t="s">
        <v>38</v>
      </c>
      <c r="B15" t="s">
        <v>39</v>
      </c>
      <c r="C15">
        <v>0</v>
      </c>
      <c r="D15">
        <v>0</v>
      </c>
      <c r="E15">
        <v>0</v>
      </c>
      <c r="F15">
        <v>0</v>
      </c>
      <c r="G15">
        <v>0</v>
      </c>
      <c r="H15">
        <v>0.2</v>
      </c>
      <c r="I15">
        <v>0</v>
      </c>
      <c r="J15">
        <v>0</v>
      </c>
      <c r="K15">
        <v>0</v>
      </c>
      <c r="L15">
        <v>0</v>
      </c>
      <c r="M15">
        <v>0.2</v>
      </c>
      <c r="N15">
        <v>26.907783510802034</v>
      </c>
      <c r="O15">
        <v>1381.2113462050559</v>
      </c>
      <c r="P15">
        <v>2635.7163307614405</v>
      </c>
      <c r="Q15">
        <v>4043.8354604772985</v>
      </c>
      <c r="R15">
        <f t="shared" ca="1" si="0"/>
        <v>10</v>
      </c>
      <c r="S15">
        <f t="shared" ca="1" si="1"/>
        <v>30</v>
      </c>
    </row>
    <row r="16" spans="1:19" x14ac:dyDescent="0.35">
      <c r="A16" t="s">
        <v>40</v>
      </c>
      <c r="B16" t="s">
        <v>29</v>
      </c>
      <c r="C16">
        <v>0</v>
      </c>
      <c r="D16">
        <v>0</v>
      </c>
      <c r="E16">
        <v>0</v>
      </c>
      <c r="F16">
        <v>0.3</v>
      </c>
      <c r="G16">
        <v>0.30000000000000004</v>
      </c>
      <c r="H16">
        <v>0.1</v>
      </c>
      <c r="I16">
        <v>0.1</v>
      </c>
      <c r="J16">
        <v>0</v>
      </c>
      <c r="K16">
        <v>0</v>
      </c>
      <c r="L16">
        <v>0</v>
      </c>
      <c r="M16">
        <v>0.8</v>
      </c>
      <c r="N16">
        <v>107.5473825283281</v>
      </c>
      <c r="O16">
        <v>5500.2040151440151</v>
      </c>
      <c r="P16">
        <v>10495.843076489246</v>
      </c>
      <c r="Q16">
        <v>16103.594474161589</v>
      </c>
      <c r="R16">
        <f t="shared" ca="1" si="0"/>
        <v>2</v>
      </c>
      <c r="S16">
        <f t="shared" ca="1" si="1"/>
        <v>9</v>
      </c>
    </row>
    <row r="17" spans="1:19" x14ac:dyDescent="0.35">
      <c r="A17" t="s">
        <v>41</v>
      </c>
      <c r="B17" t="s">
        <v>29</v>
      </c>
      <c r="C17">
        <v>0</v>
      </c>
      <c r="D17">
        <v>0</v>
      </c>
      <c r="E17">
        <v>0</v>
      </c>
      <c r="F17">
        <v>0</v>
      </c>
      <c r="G17">
        <v>0.1</v>
      </c>
      <c r="H17">
        <v>0</v>
      </c>
      <c r="I17">
        <v>0</v>
      </c>
      <c r="J17">
        <v>0</v>
      </c>
      <c r="K17">
        <v>0</v>
      </c>
      <c r="L17">
        <v>0</v>
      </c>
      <c r="M17">
        <v>0.1</v>
      </c>
      <c r="N17">
        <v>0</v>
      </c>
      <c r="O17">
        <v>0</v>
      </c>
      <c r="P17">
        <v>0</v>
      </c>
      <c r="Q17">
        <v>0</v>
      </c>
      <c r="R17">
        <f t="shared" ca="1" si="0"/>
        <v>10</v>
      </c>
      <c r="S17">
        <f t="shared" ca="1" si="1"/>
        <v>46</v>
      </c>
    </row>
    <row r="18" spans="1:19" x14ac:dyDescent="0.35">
      <c r="A18" t="s">
        <v>42</v>
      </c>
      <c r="B18" t="s">
        <v>29</v>
      </c>
      <c r="C18">
        <v>0</v>
      </c>
      <c r="D18">
        <v>0</v>
      </c>
      <c r="E18">
        <v>0</v>
      </c>
      <c r="F18">
        <v>0</v>
      </c>
      <c r="G18">
        <v>0.05</v>
      </c>
      <c r="H18">
        <v>0</v>
      </c>
      <c r="I18">
        <v>0</v>
      </c>
      <c r="J18">
        <v>0</v>
      </c>
      <c r="K18">
        <v>0</v>
      </c>
      <c r="L18">
        <v>0</v>
      </c>
      <c r="M18">
        <v>0.05</v>
      </c>
      <c r="N18">
        <v>0</v>
      </c>
      <c r="O18">
        <v>0</v>
      </c>
      <c r="P18">
        <v>0</v>
      </c>
      <c r="Q18">
        <v>0</v>
      </c>
      <c r="R18">
        <f t="shared" ca="1" si="0"/>
        <v>4</v>
      </c>
      <c r="S18">
        <f t="shared" ca="1" si="1"/>
        <v>42</v>
      </c>
    </row>
    <row r="19" spans="1:19" x14ac:dyDescent="0.35">
      <c r="A19" t="s">
        <v>43</v>
      </c>
      <c r="B19" t="s">
        <v>20</v>
      </c>
      <c r="C19">
        <v>0</v>
      </c>
      <c r="D19">
        <v>0</v>
      </c>
      <c r="E19">
        <v>0</v>
      </c>
      <c r="F19">
        <v>0</v>
      </c>
      <c r="G19">
        <v>0.05</v>
      </c>
      <c r="H19">
        <v>0</v>
      </c>
      <c r="I19">
        <v>0</v>
      </c>
      <c r="J19">
        <v>0</v>
      </c>
      <c r="K19">
        <v>0</v>
      </c>
      <c r="L19">
        <v>0</v>
      </c>
      <c r="M19">
        <v>0.05</v>
      </c>
      <c r="N19">
        <v>9.4263165360583656</v>
      </c>
      <c r="O19">
        <v>455.09774555252613</v>
      </c>
      <c r="P19">
        <v>868.44679008843582</v>
      </c>
      <c r="Q19">
        <v>1332.9708521770203</v>
      </c>
      <c r="R19">
        <f t="shared" ca="1" si="0"/>
        <v>3</v>
      </c>
      <c r="S19">
        <f t="shared" ca="1" si="1"/>
        <v>29</v>
      </c>
    </row>
    <row r="20" spans="1:19" x14ac:dyDescent="0.35">
      <c r="A20" t="s">
        <v>44</v>
      </c>
      <c r="B20" t="s">
        <v>20</v>
      </c>
      <c r="C20">
        <v>0</v>
      </c>
      <c r="D20">
        <v>0</v>
      </c>
      <c r="E20">
        <v>0</v>
      </c>
      <c r="F20">
        <v>0.3</v>
      </c>
      <c r="G20">
        <v>0.4</v>
      </c>
      <c r="H20">
        <v>0.8</v>
      </c>
      <c r="I20">
        <v>0</v>
      </c>
      <c r="J20">
        <v>0</v>
      </c>
      <c r="K20">
        <v>0.4</v>
      </c>
      <c r="L20">
        <v>0</v>
      </c>
      <c r="M20">
        <v>1.9</v>
      </c>
      <c r="N20">
        <v>277.02319249283812</v>
      </c>
      <c r="O20">
        <v>14045.157286795906</v>
      </c>
      <c r="P20">
        <v>26801.872523443009</v>
      </c>
      <c r="Q20">
        <v>41124.053002731751</v>
      </c>
      <c r="R20">
        <f t="shared" ca="1" si="0"/>
        <v>8</v>
      </c>
      <c r="S20">
        <f t="shared" ca="1" si="1"/>
        <v>11</v>
      </c>
    </row>
    <row r="21" spans="1:19" x14ac:dyDescent="0.35">
      <c r="A21" t="s">
        <v>45</v>
      </c>
      <c r="B21" t="s">
        <v>29</v>
      </c>
      <c r="C21">
        <v>0</v>
      </c>
      <c r="D21">
        <v>0</v>
      </c>
      <c r="E21">
        <v>0</v>
      </c>
      <c r="F21">
        <v>0</v>
      </c>
      <c r="G21">
        <v>0</v>
      </c>
      <c r="H21">
        <v>0.2</v>
      </c>
      <c r="I21">
        <v>0</v>
      </c>
      <c r="J21">
        <v>0</v>
      </c>
      <c r="K21">
        <v>0</v>
      </c>
      <c r="L21">
        <v>0</v>
      </c>
      <c r="M21">
        <v>0.2</v>
      </c>
      <c r="N21">
        <v>31.12815474498877</v>
      </c>
      <c r="O21">
        <v>1381.2113462050559</v>
      </c>
      <c r="P21">
        <v>2635.7163307614405</v>
      </c>
      <c r="Q21">
        <v>4048.0558317114851</v>
      </c>
      <c r="R21">
        <f t="shared" ca="1" si="0"/>
        <v>7</v>
      </c>
      <c r="S21">
        <f t="shared" ca="1" si="1"/>
        <v>16</v>
      </c>
    </row>
    <row r="22" spans="1:19" x14ac:dyDescent="0.35">
      <c r="A22" t="s">
        <v>46</v>
      </c>
      <c r="B22" t="s">
        <v>47</v>
      </c>
      <c r="C22">
        <v>0</v>
      </c>
      <c r="D22">
        <v>0</v>
      </c>
      <c r="E22">
        <v>0</v>
      </c>
      <c r="F22">
        <v>0</v>
      </c>
      <c r="G22">
        <v>0.2</v>
      </c>
      <c r="H22">
        <v>0.3</v>
      </c>
      <c r="I22">
        <v>0.3</v>
      </c>
      <c r="J22">
        <v>0</v>
      </c>
      <c r="K22">
        <v>0</v>
      </c>
      <c r="L22">
        <v>0</v>
      </c>
      <c r="M22">
        <v>0.8</v>
      </c>
      <c r="N22">
        <v>109.95819023517736</v>
      </c>
      <c r="O22">
        <v>5439.0540626598486</v>
      </c>
      <c r="P22">
        <v>10379.152803975458</v>
      </c>
      <c r="Q22">
        <v>15928.165056870483</v>
      </c>
      <c r="R22">
        <f t="shared" ca="1" si="0"/>
        <v>7</v>
      </c>
      <c r="S22">
        <f t="shared" ca="1" si="1"/>
        <v>12</v>
      </c>
    </row>
    <row r="23" spans="1:19" x14ac:dyDescent="0.35">
      <c r="A23" t="s">
        <v>48</v>
      </c>
      <c r="B23" t="s">
        <v>49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f t="shared" ca="1" si="0"/>
        <v>8</v>
      </c>
      <c r="S23">
        <f t="shared" ca="1" si="1"/>
        <v>49</v>
      </c>
    </row>
    <row r="24" spans="1:19" x14ac:dyDescent="0.35">
      <c r="A24" t="s">
        <v>50</v>
      </c>
      <c r="B24" t="s">
        <v>51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f t="shared" ca="1" si="0"/>
        <v>10</v>
      </c>
      <c r="S24">
        <f t="shared" ca="1" si="1"/>
        <v>11</v>
      </c>
    </row>
    <row r="25" spans="1:19" x14ac:dyDescent="0.35">
      <c r="A25" t="s">
        <v>52</v>
      </c>
      <c r="B25" t="s">
        <v>22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f t="shared" ca="1" si="0"/>
        <v>5</v>
      </c>
      <c r="S25">
        <f t="shared" ca="1" si="1"/>
        <v>40</v>
      </c>
    </row>
    <row r="26" spans="1:19" x14ac:dyDescent="0.35">
      <c r="A26" t="s">
        <v>53</v>
      </c>
      <c r="B26" t="s">
        <v>26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f t="shared" ca="1" si="0"/>
        <v>9</v>
      </c>
      <c r="S26">
        <f t="shared" ca="1" si="1"/>
        <v>49</v>
      </c>
    </row>
    <row r="27" spans="1:19" x14ac:dyDescent="0.35">
      <c r="A27" t="s">
        <v>54</v>
      </c>
      <c r="B27" t="s">
        <v>55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f t="shared" ca="1" si="0"/>
        <v>2</v>
      </c>
      <c r="S27">
        <f t="shared" ca="1" si="1"/>
        <v>42</v>
      </c>
    </row>
    <row r="28" spans="1:19" x14ac:dyDescent="0.35">
      <c r="A28" t="s">
        <v>56</v>
      </c>
      <c r="B28" t="s">
        <v>39</v>
      </c>
      <c r="C28">
        <v>0</v>
      </c>
      <c r="D28">
        <v>0</v>
      </c>
      <c r="E28">
        <v>0</v>
      </c>
      <c r="F28">
        <v>0</v>
      </c>
      <c r="G28">
        <v>1.1000000000000001</v>
      </c>
      <c r="H28">
        <v>0</v>
      </c>
      <c r="I28">
        <v>0</v>
      </c>
      <c r="J28">
        <v>0</v>
      </c>
      <c r="K28">
        <v>0</v>
      </c>
      <c r="L28">
        <v>0</v>
      </c>
      <c r="M28">
        <v>1.1000000000000001</v>
      </c>
      <c r="N28">
        <v>202.08378305303279</v>
      </c>
      <c r="O28">
        <v>10012.150402155576</v>
      </c>
      <c r="P28">
        <v>19105.82938194559</v>
      </c>
      <c r="Q28">
        <v>29320.063567154197</v>
      </c>
      <c r="R28">
        <f t="shared" ca="1" si="0"/>
        <v>5</v>
      </c>
      <c r="S28">
        <f t="shared" ca="1" si="1"/>
        <v>1</v>
      </c>
    </row>
    <row r="29" spans="1:19" x14ac:dyDescent="0.35">
      <c r="A29" t="s">
        <v>57</v>
      </c>
      <c r="B29" t="s">
        <v>29</v>
      </c>
      <c r="C29">
        <v>0</v>
      </c>
      <c r="D29">
        <v>0</v>
      </c>
      <c r="E29">
        <v>0</v>
      </c>
      <c r="F29">
        <v>0</v>
      </c>
      <c r="G29">
        <v>0.1</v>
      </c>
      <c r="H29">
        <v>0.1</v>
      </c>
      <c r="I29">
        <v>0.4</v>
      </c>
      <c r="J29">
        <v>0.5</v>
      </c>
      <c r="K29">
        <v>0</v>
      </c>
      <c r="L29">
        <v>0</v>
      </c>
      <c r="M29">
        <v>1.1000000000000001</v>
      </c>
      <c r="N29">
        <v>123.90881279533812</v>
      </c>
      <c r="O29">
        <v>5948.472687362947</v>
      </c>
      <c r="P29">
        <v>11351.25818959445</v>
      </c>
      <c r="Q29">
        <v>17423.639689752734</v>
      </c>
      <c r="R29">
        <f t="shared" ca="1" si="0"/>
        <v>3</v>
      </c>
      <c r="S29">
        <f t="shared" ca="1" si="1"/>
        <v>35</v>
      </c>
    </row>
    <row r="30" spans="1:19" x14ac:dyDescent="0.35">
      <c r="A30" t="s">
        <v>58</v>
      </c>
      <c r="B30" t="s">
        <v>26</v>
      </c>
      <c r="C30">
        <v>0</v>
      </c>
      <c r="D30">
        <v>0</v>
      </c>
      <c r="E30">
        <v>0</v>
      </c>
      <c r="F30">
        <v>0</v>
      </c>
      <c r="G30">
        <v>0.6</v>
      </c>
      <c r="H30">
        <v>0.2</v>
      </c>
      <c r="I30">
        <v>0.4</v>
      </c>
      <c r="J30">
        <v>0</v>
      </c>
      <c r="K30">
        <v>0</v>
      </c>
      <c r="L30">
        <v>0</v>
      </c>
      <c r="M30">
        <v>1.2000000000000002</v>
      </c>
      <c r="N30">
        <v>197.0515203211605</v>
      </c>
      <c r="O30">
        <v>8904.8457076915838</v>
      </c>
      <c r="P30">
        <v>16992.799341795409</v>
      </c>
      <c r="Q30">
        <v>26094.696569808155</v>
      </c>
      <c r="R30">
        <f t="shared" ca="1" si="0"/>
        <v>8</v>
      </c>
      <c r="S30">
        <f t="shared" ca="1" si="1"/>
        <v>31</v>
      </c>
    </row>
    <row r="31" spans="1:19" x14ac:dyDescent="0.35">
      <c r="A31" t="s">
        <v>59</v>
      </c>
      <c r="B31" t="s">
        <v>29</v>
      </c>
      <c r="C31">
        <v>0</v>
      </c>
      <c r="D31">
        <v>0</v>
      </c>
      <c r="E31">
        <v>0</v>
      </c>
      <c r="F31">
        <v>0.15000000000000002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0.15000000000000002</v>
      </c>
      <c r="N31">
        <v>33.075389966597115</v>
      </c>
      <c r="O31">
        <v>1691.8937486111909</v>
      </c>
      <c r="P31">
        <v>3228.5804742192349</v>
      </c>
      <c r="Q31">
        <v>4953.5496127970227</v>
      </c>
      <c r="R31">
        <f t="shared" ca="1" si="0"/>
        <v>2</v>
      </c>
      <c r="S31">
        <f t="shared" ca="1" si="1"/>
        <v>9</v>
      </c>
    </row>
    <row r="32" spans="1:19" x14ac:dyDescent="0.35">
      <c r="A32" t="s">
        <v>60</v>
      </c>
      <c r="B32" t="s">
        <v>29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f t="shared" ca="1" si="0"/>
        <v>6</v>
      </c>
      <c r="S32">
        <f t="shared" ca="1" si="1"/>
        <v>50</v>
      </c>
    </row>
    <row r="33" spans="1:19" x14ac:dyDescent="0.35">
      <c r="A33" t="s">
        <v>61</v>
      </c>
      <c r="B33" t="s">
        <v>47</v>
      </c>
      <c r="C33">
        <v>0</v>
      </c>
      <c r="D33">
        <v>0</v>
      </c>
      <c r="E33">
        <v>0</v>
      </c>
      <c r="F33">
        <v>0</v>
      </c>
      <c r="G33">
        <v>0.1</v>
      </c>
      <c r="H33">
        <v>0.4</v>
      </c>
      <c r="I33">
        <v>0</v>
      </c>
      <c r="J33">
        <v>0</v>
      </c>
      <c r="K33">
        <v>0</v>
      </c>
      <c r="L33">
        <v>0</v>
      </c>
      <c r="M33">
        <v>0.5</v>
      </c>
      <c r="N33">
        <v>79.818880071142289</v>
      </c>
      <c r="O33">
        <v>3672.6181835151642</v>
      </c>
      <c r="P33">
        <v>7008.3262416997532</v>
      </c>
      <c r="Q33">
        <v>10760.76330528606</v>
      </c>
      <c r="R33">
        <f t="shared" ca="1" si="0"/>
        <v>10</v>
      </c>
      <c r="S33">
        <f t="shared" ca="1" si="1"/>
        <v>35</v>
      </c>
    </row>
    <row r="34" spans="1:19" x14ac:dyDescent="0.35">
      <c r="A34" t="s">
        <v>62</v>
      </c>
      <c r="B34" t="s">
        <v>63</v>
      </c>
      <c r="C34">
        <v>0</v>
      </c>
      <c r="D34">
        <v>0</v>
      </c>
      <c r="E34">
        <v>0</v>
      </c>
      <c r="F34">
        <v>0</v>
      </c>
      <c r="G34">
        <v>0.2</v>
      </c>
      <c r="H34">
        <v>0</v>
      </c>
      <c r="I34">
        <v>0</v>
      </c>
      <c r="J34">
        <v>0</v>
      </c>
      <c r="K34">
        <v>0</v>
      </c>
      <c r="L34">
        <v>0</v>
      </c>
      <c r="M34">
        <v>0.2</v>
      </c>
      <c r="N34">
        <v>37.584094377133283</v>
      </c>
      <c r="O34">
        <v>1820.3909822101045</v>
      </c>
      <c r="P34">
        <v>3473.7871603537433</v>
      </c>
      <c r="Q34">
        <v>5331.762236940981</v>
      </c>
      <c r="R34">
        <f t="shared" ca="1" si="0"/>
        <v>10</v>
      </c>
      <c r="S34">
        <f t="shared" ca="1" si="1"/>
        <v>36</v>
      </c>
    </row>
    <row r="35" spans="1:19" x14ac:dyDescent="0.35">
      <c r="A35" t="s">
        <v>64</v>
      </c>
      <c r="B35" t="s">
        <v>26</v>
      </c>
      <c r="C35">
        <v>0</v>
      </c>
      <c r="D35">
        <v>0</v>
      </c>
      <c r="E35">
        <v>0</v>
      </c>
      <c r="F35">
        <v>0</v>
      </c>
      <c r="G35">
        <v>0.1</v>
      </c>
      <c r="H35">
        <v>0.1</v>
      </c>
      <c r="I35">
        <v>0</v>
      </c>
      <c r="J35">
        <v>0</v>
      </c>
      <c r="K35">
        <v>0</v>
      </c>
      <c r="L35">
        <v>0</v>
      </c>
      <c r="M35">
        <v>0.2</v>
      </c>
      <c r="N35">
        <v>34.122293306034052</v>
      </c>
      <c r="O35">
        <v>1600.8011642075801</v>
      </c>
      <c r="P35">
        <v>3054.7517455575917</v>
      </c>
      <c r="Q35">
        <v>4689.6752030712059</v>
      </c>
      <c r="R35">
        <f t="shared" ca="1" si="0"/>
        <v>9</v>
      </c>
      <c r="S35">
        <f t="shared" ca="1" si="1"/>
        <v>1</v>
      </c>
    </row>
    <row r="36" spans="1:19" x14ac:dyDescent="0.35">
      <c r="A36" t="s">
        <v>65</v>
      </c>
      <c r="B36" t="s">
        <v>29</v>
      </c>
      <c r="C36">
        <v>0</v>
      </c>
      <c r="D36">
        <v>0</v>
      </c>
      <c r="E36">
        <v>0</v>
      </c>
      <c r="F36">
        <v>0</v>
      </c>
      <c r="G36">
        <v>0</v>
      </c>
      <c r="H36">
        <v>0.2</v>
      </c>
      <c r="I36">
        <v>0</v>
      </c>
      <c r="J36">
        <v>0</v>
      </c>
      <c r="K36">
        <v>0</v>
      </c>
      <c r="L36">
        <v>0</v>
      </c>
      <c r="M36">
        <v>0.2</v>
      </c>
      <c r="N36">
        <v>25.050997397338978</v>
      </c>
      <c r="O36">
        <v>1381.2113462050559</v>
      </c>
      <c r="P36">
        <v>2635.7163307614405</v>
      </c>
      <c r="Q36">
        <v>4041.9786743638351</v>
      </c>
      <c r="R36">
        <f t="shared" ca="1" si="0"/>
        <v>4</v>
      </c>
      <c r="S36">
        <f t="shared" ca="1" si="1"/>
        <v>47</v>
      </c>
    </row>
    <row r="37" spans="1:19" x14ac:dyDescent="0.35">
      <c r="A37" t="s">
        <v>66</v>
      </c>
      <c r="B37" t="s">
        <v>26</v>
      </c>
      <c r="C37">
        <v>0</v>
      </c>
      <c r="D37">
        <v>0</v>
      </c>
      <c r="E37">
        <v>0</v>
      </c>
      <c r="F37">
        <v>0</v>
      </c>
      <c r="G37">
        <v>0</v>
      </c>
      <c r="H37">
        <v>0.2</v>
      </c>
      <c r="I37">
        <v>0</v>
      </c>
      <c r="J37">
        <v>0</v>
      </c>
      <c r="K37">
        <v>0</v>
      </c>
      <c r="L37">
        <v>0</v>
      </c>
      <c r="M37">
        <v>0.2</v>
      </c>
      <c r="N37">
        <v>25.197676313112257</v>
      </c>
      <c r="O37">
        <v>1381.2113462050559</v>
      </c>
      <c r="P37">
        <v>2635.7163307614405</v>
      </c>
      <c r="Q37">
        <v>4042.1253532796086</v>
      </c>
      <c r="R37">
        <f t="shared" ca="1" si="0"/>
        <v>5</v>
      </c>
      <c r="S37">
        <f t="shared" ca="1" si="1"/>
        <v>47</v>
      </c>
    </row>
    <row r="38" spans="1:19" x14ac:dyDescent="0.35">
      <c r="A38" t="s">
        <v>67</v>
      </c>
      <c r="B38" t="s">
        <v>29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f t="shared" ca="1" si="0"/>
        <v>7</v>
      </c>
      <c r="S38">
        <f t="shared" ca="1" si="1"/>
        <v>27</v>
      </c>
    </row>
    <row r="39" spans="1:19" x14ac:dyDescent="0.35">
      <c r="A39" t="s">
        <v>68</v>
      </c>
      <c r="B39" t="s">
        <v>29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f t="shared" ca="1" si="0"/>
        <v>3</v>
      </c>
      <c r="S39">
        <f t="shared" ca="1" si="1"/>
        <v>23</v>
      </c>
    </row>
    <row r="40" spans="1:19" x14ac:dyDescent="0.35">
      <c r="A40" t="s">
        <v>69</v>
      </c>
      <c r="B40" t="s">
        <v>29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f t="shared" ca="1" si="0"/>
        <v>6</v>
      </c>
      <c r="S40">
        <f t="shared" ca="1" si="1"/>
        <v>16</v>
      </c>
    </row>
    <row r="41" spans="1:19" x14ac:dyDescent="0.35">
      <c r="A41" t="s">
        <v>70</v>
      </c>
      <c r="B41" t="s">
        <v>29</v>
      </c>
      <c r="C41">
        <v>0</v>
      </c>
      <c r="D41">
        <v>0</v>
      </c>
      <c r="E41">
        <v>0</v>
      </c>
      <c r="F41">
        <v>0</v>
      </c>
      <c r="G41">
        <v>0</v>
      </c>
      <c r="H41">
        <v>0.05</v>
      </c>
      <c r="I41">
        <v>0</v>
      </c>
      <c r="J41">
        <v>0</v>
      </c>
      <c r="K41">
        <v>0</v>
      </c>
      <c r="L41">
        <v>0</v>
      </c>
      <c r="M41">
        <v>0.05</v>
      </c>
      <c r="N41">
        <v>6.3971633350619381</v>
      </c>
      <c r="O41">
        <v>345.30283655126397</v>
      </c>
      <c r="P41">
        <v>658.92908269036013</v>
      </c>
      <c r="Q41">
        <v>1010.629082576686</v>
      </c>
      <c r="R41">
        <f t="shared" ca="1" si="0"/>
        <v>2</v>
      </c>
      <c r="S41">
        <f t="shared" ca="1" si="1"/>
        <v>19</v>
      </c>
    </row>
    <row r="42" spans="1:19" x14ac:dyDescent="0.35">
      <c r="A42" t="s">
        <v>71</v>
      </c>
      <c r="B42" t="s">
        <v>51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f t="shared" ca="1" si="0"/>
        <v>5</v>
      </c>
      <c r="S42">
        <f t="shared" ca="1" si="1"/>
        <v>38</v>
      </c>
    </row>
    <row r="43" spans="1:19" x14ac:dyDescent="0.35">
      <c r="A43" t="s">
        <v>72</v>
      </c>
      <c r="B43" t="s">
        <v>22</v>
      </c>
      <c r="C43">
        <v>0</v>
      </c>
      <c r="D43">
        <v>0</v>
      </c>
      <c r="E43">
        <v>0</v>
      </c>
      <c r="F43">
        <v>0</v>
      </c>
      <c r="G43">
        <v>0.1</v>
      </c>
      <c r="H43">
        <v>0</v>
      </c>
      <c r="I43">
        <v>0</v>
      </c>
      <c r="J43">
        <v>0</v>
      </c>
      <c r="K43">
        <v>0</v>
      </c>
      <c r="L43">
        <v>0</v>
      </c>
      <c r="M43">
        <v>0.1</v>
      </c>
      <c r="N43">
        <v>19.070423766584842</v>
      </c>
      <c r="O43">
        <v>910.19549110505227</v>
      </c>
      <c r="P43">
        <v>1736.8935801768716</v>
      </c>
      <c r="Q43">
        <v>2666.1594950485087</v>
      </c>
      <c r="R43">
        <f t="shared" ca="1" si="0"/>
        <v>1</v>
      </c>
      <c r="S43">
        <f t="shared" ca="1" si="1"/>
        <v>13</v>
      </c>
    </row>
    <row r="44" spans="1:19" x14ac:dyDescent="0.35">
      <c r="A44" t="s">
        <v>73</v>
      </c>
      <c r="B44" t="s">
        <v>29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f t="shared" ca="1" si="0"/>
        <v>9</v>
      </c>
      <c r="S44">
        <f t="shared" ca="1" si="1"/>
        <v>35</v>
      </c>
    </row>
    <row r="45" spans="1:19" x14ac:dyDescent="0.35">
      <c r="A45" t="s">
        <v>74</v>
      </c>
      <c r="B45" t="s">
        <v>26</v>
      </c>
      <c r="C45">
        <v>0</v>
      </c>
      <c r="D45">
        <v>0</v>
      </c>
      <c r="E45">
        <v>0</v>
      </c>
      <c r="F45">
        <v>0</v>
      </c>
      <c r="G45">
        <v>0.1</v>
      </c>
      <c r="H45">
        <v>0</v>
      </c>
      <c r="I45">
        <v>0</v>
      </c>
      <c r="J45">
        <v>0</v>
      </c>
      <c r="K45">
        <v>0</v>
      </c>
      <c r="L45">
        <v>0</v>
      </c>
      <c r="M45">
        <v>0.1</v>
      </c>
      <c r="N45">
        <v>18.890097717664638</v>
      </c>
      <c r="O45">
        <v>910.19549110505227</v>
      </c>
      <c r="P45">
        <v>1736.8935801768716</v>
      </c>
      <c r="Q45">
        <v>2665.9791689995886</v>
      </c>
      <c r="R45">
        <f t="shared" ca="1" si="0"/>
        <v>10</v>
      </c>
      <c r="S45">
        <f t="shared" ca="1" si="1"/>
        <v>34</v>
      </c>
    </row>
    <row r="46" spans="1:19" x14ac:dyDescent="0.35">
      <c r="A46" t="s">
        <v>75</v>
      </c>
      <c r="B46" t="s">
        <v>29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0.2</v>
      </c>
      <c r="K46">
        <v>0</v>
      </c>
      <c r="L46">
        <v>0</v>
      </c>
      <c r="M46">
        <v>0.2</v>
      </c>
      <c r="N46">
        <v>18.86600667242417</v>
      </c>
      <c r="O46">
        <v>914.08404331966142</v>
      </c>
      <c r="P46">
        <v>1744.3139656256474</v>
      </c>
      <c r="Q46">
        <v>2677.2640156177331</v>
      </c>
      <c r="R46">
        <f t="shared" ca="1" si="0"/>
        <v>5</v>
      </c>
      <c r="S46">
        <f t="shared" ca="1" si="1"/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Elks, David - UKGI</dc:creator>
  <cp:keywords/>
  <dc:description/>
  <cp:lastModifiedBy>Elks, David - UKGI</cp:lastModifiedBy>
  <cp:revision/>
  <dcterms:created xsi:type="dcterms:W3CDTF">2025-11-18T14:05:15Z</dcterms:created>
  <dcterms:modified xsi:type="dcterms:W3CDTF">2025-11-18T15:09:18Z</dcterms:modified>
  <cp:category/>
  <cp:contentStatus/>
</cp:coreProperties>
</file>