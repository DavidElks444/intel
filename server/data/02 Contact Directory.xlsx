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mc:AlternateContent xmlns:mc="http://schemas.openxmlformats.org/markup-compatibility/2006">
    <mc:Choice Requires="x15">
      <x15ac:absPath xmlns:x15ac="http://schemas.microsoft.com/office/spreadsheetml/2010/11/ac" url="C:\Users\DElks\AppData\Roaming\Repos\intel\server\data\"/>
    </mc:Choice>
  </mc:AlternateContent>
  <xr:revisionPtr revIDLastSave="0" documentId="8_{B7C14E5A-3B95-4326-A29F-F4DA1C47C463}" xr6:coauthVersionLast="47" xr6:coauthVersionMax="47" xr10:uidLastSave="{00000000-0000-0000-0000-000000000000}"/>
  <bookViews>
    <workbookView xWindow="5025" yWindow="5025" windowWidth="28575" windowHeight="14445" firstSheet="2" activeTab="2" xr2:uid="{00000000-000D-0000-FFFF-FFFF00000000}"/>
  </bookViews>
  <sheets>
    <sheet name="Validation" sheetId="3" r:id="rId1"/>
    <sheet name="Departmental Domains" sheetId="4" r:id="rId2"/>
    <sheet name="Master Data" sheetId="2" r:id="rId3"/>
  </sheets>
  <definedNames>
    <definedName name="_xlnm._FilterDatabase" localSheetId="2" hidden="1">'Master Data'!$A$1:$M$711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66" i="2" l="1"/>
  <c r="K865" i="2"/>
  <c r="K864" i="2"/>
  <c r="K863" i="2"/>
  <c r="K862" i="2"/>
  <c r="K861" i="2"/>
  <c r="K860" i="2"/>
  <c r="K859" i="2"/>
  <c r="K858" i="2"/>
  <c r="K857" i="2"/>
  <c r="K856" i="2"/>
  <c r="K855" i="2"/>
  <c r="K854" i="2"/>
  <c r="K853" i="2"/>
  <c r="K852" i="2"/>
  <c r="K851" i="2"/>
  <c r="K850" i="2"/>
  <c r="K849" i="2"/>
  <c r="K848" i="2"/>
  <c r="K847" i="2"/>
  <c r="K846" i="2"/>
  <c r="K845" i="2"/>
  <c r="K844" i="2"/>
  <c r="K843" i="2"/>
  <c r="K842" i="2"/>
  <c r="K841" i="2"/>
  <c r="K840" i="2"/>
  <c r="K839" i="2"/>
  <c r="K838" i="2"/>
  <c r="K837" i="2"/>
  <c r="K836" i="2"/>
  <c r="K835" i="2"/>
  <c r="K834" i="2"/>
  <c r="K833" i="2"/>
  <c r="K832" i="2"/>
  <c r="K831" i="2"/>
  <c r="K830" i="2"/>
  <c r="K829" i="2"/>
  <c r="K828" i="2"/>
  <c r="K827" i="2"/>
  <c r="K826" i="2"/>
  <c r="K825" i="2"/>
  <c r="K824" i="2"/>
  <c r="K823" i="2"/>
  <c r="K822" i="2"/>
  <c r="K821" i="2"/>
  <c r="K820" i="2"/>
  <c r="K819" i="2"/>
  <c r="K818" i="2"/>
  <c r="K817" i="2"/>
  <c r="K816" i="2"/>
  <c r="K815" i="2"/>
  <c r="K814" i="2"/>
  <c r="K813" i="2"/>
  <c r="K811" i="2"/>
  <c r="K812" i="2"/>
  <c r="K810" i="2"/>
  <c r="K809" i="2"/>
  <c r="K808" i="2"/>
  <c r="K807" i="2"/>
  <c r="K806" i="2"/>
  <c r="K805" i="2"/>
  <c r="K804" i="2"/>
  <c r="K803" i="2"/>
  <c r="K802" i="2"/>
  <c r="K801" i="2"/>
  <c r="K800" i="2"/>
  <c r="K799" i="2"/>
  <c r="K798" i="2"/>
  <c r="K797" i="2"/>
  <c r="K796" i="2"/>
  <c r="C555" i="2"/>
  <c r="K555" i="2"/>
  <c r="C546" i="2"/>
  <c r="K546" i="2"/>
  <c r="C542" i="2"/>
  <c r="K542" i="2"/>
  <c r="C540" i="2"/>
  <c r="K540" i="2"/>
  <c r="C533" i="2"/>
  <c r="K533" i="2"/>
  <c r="C532" i="2"/>
  <c r="K532" i="2"/>
  <c r="C527" i="2"/>
  <c r="K527" i="2"/>
  <c r="C518" i="2"/>
  <c r="C515" i="2"/>
  <c r="K515" i="2"/>
  <c r="K518" i="2"/>
  <c r="C574" i="2"/>
  <c r="C537" i="2"/>
  <c r="C513" i="2"/>
  <c r="C556" i="2"/>
  <c r="C551" i="2"/>
  <c r="C539" i="2"/>
  <c r="C712" i="2"/>
  <c r="C729" i="2"/>
  <c r="C516" i="2"/>
  <c r="C575" i="2"/>
  <c r="C523" i="2"/>
  <c r="C525" i="2"/>
  <c r="C567" i="2"/>
  <c r="C561" i="2"/>
  <c r="C553" i="2"/>
  <c r="C528" i="2"/>
  <c r="C545" i="2"/>
  <c r="C530" i="2"/>
  <c r="C522" i="2"/>
  <c r="C512" i="2"/>
  <c r="C571" i="2"/>
  <c r="C566" i="2"/>
  <c r="C572" i="2"/>
  <c r="C728" i="2"/>
  <c r="C570" i="2"/>
  <c r="C508" i="2"/>
  <c r="C562" i="2"/>
  <c r="C554" i="2"/>
  <c r="C569" i="2"/>
  <c r="C526" i="2"/>
  <c r="C519" i="2"/>
  <c r="C531" i="2"/>
  <c r="C563" i="2"/>
  <c r="C558" i="2"/>
  <c r="C536" i="2"/>
  <c r="C511" i="2"/>
  <c r="C541" i="2"/>
  <c r="C550" i="2"/>
  <c r="C507" i="2"/>
  <c r="C560" i="2"/>
  <c r="C543" i="2"/>
  <c r="C573" i="2"/>
  <c r="C549" i="2"/>
  <c r="C564" i="2"/>
  <c r="C568" i="2"/>
  <c r="C565" i="2"/>
  <c r="C559" i="2"/>
  <c r="C552" i="2"/>
  <c r="C521" i="2"/>
  <c r="C544" i="2"/>
  <c r="C520" i="2"/>
  <c r="C557" i="2"/>
  <c r="C535" i="2"/>
  <c r="C514" i="2"/>
  <c r="C517" i="2"/>
  <c r="C524" i="2"/>
  <c r="C510" i="2"/>
  <c r="C548" i="2"/>
  <c r="C509" i="2"/>
  <c r="C547" i="2"/>
  <c r="C538" i="2"/>
  <c r="C534" i="2"/>
  <c r="C529"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29" i="2"/>
  <c r="K534" i="2"/>
  <c r="K538" i="2"/>
  <c r="K547" i="2"/>
  <c r="K509" i="2"/>
  <c r="K548" i="2"/>
  <c r="K510" i="2"/>
  <c r="K524" i="2"/>
  <c r="K517" i="2"/>
  <c r="K514" i="2"/>
  <c r="K535" i="2"/>
  <c r="K557" i="2"/>
  <c r="K520" i="2"/>
  <c r="K544" i="2"/>
  <c r="K521" i="2"/>
  <c r="K552" i="2"/>
  <c r="K559" i="2"/>
  <c r="K565" i="2"/>
  <c r="K568" i="2"/>
  <c r="K564" i="2"/>
  <c r="K549" i="2"/>
  <c r="K573" i="2"/>
  <c r="K543" i="2"/>
  <c r="K560" i="2"/>
  <c r="K507" i="2"/>
  <c r="K550" i="2"/>
  <c r="K541" i="2"/>
  <c r="K511" i="2"/>
  <c r="K536" i="2"/>
  <c r="K558" i="2"/>
  <c r="K563" i="2"/>
  <c r="K531" i="2"/>
  <c r="K519" i="2"/>
  <c r="K526" i="2"/>
  <c r="K569" i="2"/>
  <c r="K554" i="2"/>
  <c r="K562" i="2"/>
  <c r="K508" i="2"/>
  <c r="K570" i="2"/>
  <c r="K728" i="2"/>
  <c r="K572" i="2"/>
  <c r="K566" i="2"/>
  <c r="K571" i="2"/>
  <c r="K512" i="2"/>
  <c r="K522" i="2"/>
  <c r="K530" i="2"/>
  <c r="K545" i="2"/>
  <c r="K528" i="2"/>
  <c r="K553" i="2"/>
  <c r="K561" i="2"/>
  <c r="K567" i="2"/>
  <c r="K525" i="2"/>
  <c r="K523" i="2"/>
  <c r="K575" i="2"/>
  <c r="K516" i="2"/>
  <c r="K729" i="2"/>
  <c r="K712" i="2"/>
  <c r="K539" i="2"/>
  <c r="K551" i="2"/>
  <c r="K556"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513" i="2"/>
  <c r="K713" i="2"/>
  <c r="K714" i="2"/>
  <c r="K715" i="2"/>
  <c r="K716" i="2"/>
  <c r="K717" i="2"/>
  <c r="K718" i="2"/>
  <c r="K719" i="2"/>
  <c r="K720" i="2"/>
  <c r="K721" i="2"/>
  <c r="K722" i="2"/>
  <c r="K723" i="2"/>
  <c r="K724" i="2"/>
  <c r="K725" i="2"/>
  <c r="K726" i="2"/>
  <c r="K727" i="2"/>
  <c r="K537" i="2"/>
  <c r="K574"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2" i="2"/>
  <c r="C727" i="2"/>
  <c r="C725" i="2"/>
  <c r="C724" i="2"/>
  <c r="C723" i="2"/>
  <c r="C722" i="2"/>
  <c r="C721" i="2"/>
  <c r="C720" i="2"/>
  <c r="C719" i="2"/>
  <c r="C718" i="2"/>
  <c r="C717" i="2"/>
  <c r="C716" i="2"/>
  <c r="C715" i="2"/>
  <c r="C714" i="2"/>
  <c r="C713" i="2"/>
  <c r="C710" i="2"/>
  <c r="C709" i="2"/>
  <c r="C708" i="2"/>
  <c r="C707" i="2"/>
  <c r="C706" i="2"/>
  <c r="C705" i="2"/>
  <c r="C704" i="2"/>
  <c r="C703" i="2"/>
  <c r="C702" i="2"/>
  <c r="C701" i="2"/>
  <c r="C700" i="2"/>
  <c r="C699" i="2"/>
  <c r="C25" i="2"/>
  <c r="C24" i="2"/>
  <c r="C23" i="2"/>
  <c r="C22" i="2"/>
  <c r="C21" i="2"/>
  <c r="C20" i="2"/>
  <c r="C19" i="2"/>
  <c r="C18" i="2"/>
  <c r="C17" i="2"/>
  <c r="C16" i="2"/>
  <c r="C15" i="2"/>
  <c r="C14" i="2"/>
  <c r="C13" i="2"/>
  <c r="C12" i="2"/>
  <c r="C11" i="2"/>
  <c r="C10" i="2"/>
  <c r="C9" i="2"/>
  <c r="C8" i="2"/>
  <c r="C7" i="2"/>
  <c r="C6" i="2"/>
  <c r="C5" i="2"/>
  <c r="C4" i="2"/>
  <c r="C3" i="2"/>
  <c r="C2" i="2"/>
  <c r="A2" i="3" a="1"/>
  <c r="A2"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<sst xmlns="http://schemas.openxmlformats.org/spreadsheetml/2006/main" count="6238" uniqueCount="2363">
  <si>
    <t>Column</t>
  </si>
  <si>
    <t>Input Type</t>
  </si>
  <si>
    <t>Validation</t>
  </si>
  <si>
    <t>Free text</t>
  </si>
  <si>
    <t xml:space="preserve">Ensuring that email address extension is valid </t>
  </si>
  <si>
    <t>Drop Down</t>
  </si>
  <si>
    <t>Free Text</t>
  </si>
  <si>
    <t>Ensuring that email address extension is '@ukgi.org.uk'</t>
  </si>
  <si>
    <t>Department</t>
  </si>
  <si>
    <t>Email Address</t>
  </si>
  <si>
    <t>HM Treasury</t>
  </si>
  <si>
    <t>hmtreasury.gov.uk</t>
  </si>
  <si>
    <t>concatenate (firstname) . (surname) @ domain</t>
  </si>
  <si>
    <t>DESNZ</t>
  </si>
  <si>
    <t>energysecurity.gov.uk</t>
  </si>
  <si>
    <t>MHCLG</t>
  </si>
  <si>
    <t>communities.gov.uk</t>
  </si>
  <si>
    <t>UKGI</t>
  </si>
  <si>
    <t>ukgi.org.uk</t>
  </si>
  <si>
    <t>Departmental Contact Surname</t>
  </si>
  <si>
    <t>Departmental Contact Forename(s)</t>
  </si>
  <si>
    <t>Departmental Contact Email Address</t>
  </si>
  <si>
    <t>Grade Equivalent</t>
  </si>
  <si>
    <t>Job Title</t>
  </si>
  <si>
    <t>Job/Team Function</t>
  </si>
  <si>
    <t>Parent Department</t>
  </si>
  <si>
    <t>Organisation</t>
  </si>
  <si>
    <t>Lead UKGI Contact Surname</t>
  </si>
  <si>
    <t>Lead UKGI Contact Forename</t>
  </si>
  <si>
    <t>Lead UKGI Contact Email Address</t>
  </si>
  <si>
    <t>Relationship Status</t>
  </si>
  <si>
    <t>Contact Status</t>
  </si>
  <si>
    <t>Priority Level</t>
  </si>
  <si>
    <t>Frequency</t>
  </si>
  <si>
    <t>Notes</t>
  </si>
  <si>
    <t>Earle</t>
  </si>
  <si>
    <t>Daniel</t>
  </si>
  <si>
    <t>Director (SCS2)</t>
  </si>
  <si>
    <t>Director, Corporate Finance</t>
  </si>
  <si>
    <t>Enterprise and Growth</t>
  </si>
  <si>
    <t>His Majesty's Treasury</t>
  </si>
  <si>
    <t>Ciallie</t>
  </si>
  <si>
    <t>Elena</t>
  </si>
  <si>
    <t>Patel</t>
  </si>
  <si>
    <t>Neeraj</t>
  </si>
  <si>
    <t>Deputy Director (SCS1)</t>
  </si>
  <si>
    <t>Deputy Director, National Wealth Fund</t>
  </si>
  <si>
    <t>Kynoch</t>
  </si>
  <si>
    <t>Ruth</t>
  </si>
  <si>
    <t>Deputy Director, Corporate Finance</t>
  </si>
  <si>
    <t>Carter</t>
  </si>
  <si>
    <t>Andrew</t>
  </si>
  <si>
    <t>Director of Public Spending and Deputy Head of Government Finance Function</t>
  </si>
  <si>
    <t>Public Spending</t>
  </si>
  <si>
    <t>O'Mahony</t>
  </si>
  <si>
    <t>Sian</t>
  </si>
  <si>
    <t>Cooke</t>
  </si>
  <si>
    <t>Hannah</t>
  </si>
  <si>
    <t>Dickson</t>
  </si>
  <si>
    <t>Sam</t>
  </si>
  <si>
    <t>G6</t>
  </si>
  <si>
    <t>Head of Access to Finance</t>
  </si>
  <si>
    <t>Cornford</t>
  </si>
  <si>
    <t>Matthew</t>
  </si>
  <si>
    <t>Director, Financial Services</t>
  </si>
  <si>
    <t>Financial Services</t>
  </si>
  <si>
    <t>Jacottet</t>
  </si>
  <si>
    <t>Natalie</t>
  </si>
  <si>
    <t>NWF Sponsorship and Governance</t>
  </si>
  <si>
    <t>Binning</t>
  </si>
  <si>
    <t>Neneh</t>
  </si>
  <si>
    <t>G7</t>
  </si>
  <si>
    <t>Senior Policy Adviser, Public Finance Institution Landscape Review</t>
  </si>
  <si>
    <t>Connolly</t>
  </si>
  <si>
    <t>Senior Policy Adviser</t>
  </si>
  <si>
    <t>Donlevy</t>
  </si>
  <si>
    <t>Nick</t>
  </si>
  <si>
    <t>Director, Public Spending</t>
  </si>
  <si>
    <t xml:space="preserve">Potts </t>
  </si>
  <si>
    <t>Henry</t>
  </si>
  <si>
    <t>SEO</t>
  </si>
  <si>
    <t>Policy Advisor, NWF Sponsorship</t>
  </si>
  <si>
    <t>Yonis</t>
  </si>
  <si>
    <t>Ezziddin</t>
  </si>
  <si>
    <t>Strategy and Policy Advisor</t>
  </si>
  <si>
    <t>Elks</t>
  </si>
  <si>
    <t>Deputy Director, Local Government and Reform</t>
  </si>
  <si>
    <t>Public Services</t>
  </si>
  <si>
    <t>Markland</t>
  </si>
  <si>
    <t>Thomas</t>
  </si>
  <si>
    <t>Head of Policy Strategy</t>
  </si>
  <si>
    <t>Poxon</t>
  </si>
  <si>
    <t>Head of Pensions Markets, Life Insurance and Investment Policy</t>
  </si>
  <si>
    <t>Ginsberg</t>
  </si>
  <si>
    <t>Ian</t>
  </si>
  <si>
    <t>Director, International Partnerships and Trade</t>
  </si>
  <si>
    <t>International</t>
  </si>
  <si>
    <t>Glassborow</t>
  </si>
  <si>
    <t>Stuart</t>
  </si>
  <si>
    <t>Director, Growth and Productivity</t>
  </si>
  <si>
    <t>Barton</t>
  </si>
  <si>
    <t>Policy Advisor, Pensions Markets, Life Insurance and Investment Policy</t>
  </si>
  <si>
    <t>Symons</t>
  </si>
  <si>
    <t>Peter</t>
  </si>
  <si>
    <t>Senior Policy Advisor, Financial Services</t>
  </si>
  <si>
    <t>Challoner</t>
  </si>
  <si>
    <t>Joel</t>
  </si>
  <si>
    <t>Policy Adviser, Financial Services</t>
  </si>
  <si>
    <t>Glover</t>
  </si>
  <si>
    <t>Jessica</t>
  </si>
  <si>
    <t>Director General (SCS3)</t>
  </si>
  <si>
    <t>Director General, Growth and Productivity</t>
  </si>
  <si>
    <t>Ministerial and Communications</t>
  </si>
  <si>
    <t>Farrington</t>
  </si>
  <si>
    <t>Stephen</t>
  </si>
  <si>
    <t>Director, Fiscal</t>
  </si>
  <si>
    <t>Fiscal</t>
  </si>
  <si>
    <t>Duffy</t>
  </si>
  <si>
    <t>Siobhan</t>
  </si>
  <si>
    <t>High</t>
  </si>
  <si>
    <t>Reid</t>
  </si>
  <si>
    <t>Timothy</t>
  </si>
  <si>
    <t>Director of Business Group</t>
  </si>
  <si>
    <t>Business/Commercial</t>
  </si>
  <si>
    <t>UK Export Finance</t>
  </si>
  <si>
    <t>Parkash</t>
  </si>
  <si>
    <t>Samir</t>
  </si>
  <si>
    <t>Interim CEO</t>
  </si>
  <si>
    <t>Department Leader/CEO</t>
  </si>
  <si>
    <t>Atherton</t>
  </si>
  <si>
    <t>Francis</t>
  </si>
  <si>
    <t>Chief Medical Officer</t>
  </si>
  <si>
    <t>Chief Medical Officer for Wales</t>
  </si>
  <si>
    <t>Welsh Government</t>
  </si>
  <si>
    <t>Jones</t>
  </si>
  <si>
    <t>Chris</t>
  </si>
  <si>
    <t>Deputy Chief Medical Officer</t>
  </si>
  <si>
    <t>Deputy Chief Medical Officer for Wales</t>
  </si>
  <si>
    <t>Price</t>
  </si>
  <si>
    <t>James</t>
  </si>
  <si>
    <t>Chief Executive - Transport for Wales</t>
  </si>
  <si>
    <t>Cave</t>
  </si>
  <si>
    <t>Martin</t>
  </si>
  <si>
    <t>Chair</t>
  </si>
  <si>
    <t>Chairman</t>
  </si>
  <si>
    <t>Office of Gas and Electricity Markets</t>
  </si>
  <si>
    <t>Brearley</t>
  </si>
  <si>
    <t>Jonathan</t>
  </si>
  <si>
    <t>Permanent Secretary/CEO</t>
  </si>
  <si>
    <t>Chief Executive Officer</t>
  </si>
  <si>
    <t>CEO</t>
  </si>
  <si>
    <t>Wilde</t>
  </si>
  <si>
    <t>Simon</t>
  </si>
  <si>
    <t>Director Analysis &amp; Assurance</t>
  </si>
  <si>
    <t>Moore</t>
  </si>
  <si>
    <t>Richard</t>
  </si>
  <si>
    <t>Chief, Secret Intelligence Service</t>
  </si>
  <si>
    <t>Foreign, Commonwealth and Development Office</t>
  </si>
  <si>
    <t>Secret Intelligence Service</t>
  </si>
  <si>
    <t>McCallum</t>
  </si>
  <si>
    <t>Kenneth</t>
  </si>
  <si>
    <t>Director General, Security Service</t>
  </si>
  <si>
    <t>Home Office</t>
  </si>
  <si>
    <t>Security Service, MI5</t>
  </si>
  <si>
    <t>Fleming</t>
  </si>
  <si>
    <t>Jeremy</t>
  </si>
  <si>
    <t>Director, Government Communications Headquarters</t>
  </si>
  <si>
    <t>Government Communications Headquarters</t>
  </si>
  <si>
    <t>Falconer</t>
  </si>
  <si>
    <t>Crawford</t>
  </si>
  <si>
    <t>Chief Negotiation Adviser and Second Permanent Secretary DIT</t>
  </si>
  <si>
    <t>To oversee the trade policy and negotiation agenda for DIT, support the Permanent Secretary in running the department and heads the trade negotiation profession within the Civil Service</t>
  </si>
  <si>
    <t>Department for International Trade</t>
  </si>
  <si>
    <t>Bowler</t>
  </si>
  <si>
    <t>james.bowler@hmtreasury.gov.uk</t>
  </si>
  <si>
    <t>Permanent Secretary DIT</t>
  </si>
  <si>
    <t>The Permanent Secretary leads the Department for International Trade and is principal policy adviser to the Secretary of State</t>
  </si>
  <si>
    <t>Donald</t>
  </si>
  <si>
    <t>Charles</t>
  </si>
  <si>
    <t xml:space="preserve">Smith </t>
  </si>
  <si>
    <t xml:space="preserve">Ceri </t>
  </si>
  <si>
    <t xml:space="preserve">Director General in Strategy and Investment </t>
  </si>
  <si>
    <t>Responsible for delivering the Investment Transformation Programme for DIT and providing oversight of the investment services function, including the Office for Investment. The role also leads DIT’s strategy, analysis, world events and advocacy teams, and oversees the work of the Chief Scientific Advisor.</t>
  </si>
  <si>
    <t>Robertson</t>
  </si>
  <si>
    <t>Kenny</t>
  </si>
  <si>
    <t>Director of Technology Services</t>
  </si>
  <si>
    <t>Technology Infrastructure and Operations.</t>
  </si>
  <si>
    <t>Department for Work and Pensions</t>
  </si>
  <si>
    <t>Alder</t>
  </si>
  <si>
    <t>Debbie</t>
  </si>
  <si>
    <t>Director General, People, Capability and Place</t>
  </si>
  <si>
    <t>The DWP Director General of People,Capability and Place sets and leads the department’s people strategy aligning this to business strategy and the wider Civil Service workforce plan. The role is accountable for: the full HR operating model and function; health and safety; all learning and development; workforce resourcing; sponsorship of major people transformation programmes, the DWP estate, overseeing major workplace transformation projects and creating a flexible, inclusive and continuously learning workforce.</t>
  </si>
  <si>
    <t>Bradley</t>
  </si>
  <si>
    <t>Barbara</t>
  </si>
  <si>
    <t>Director General for Work and Health Services</t>
  </si>
  <si>
    <t>Responsible for the day to day running of disability services, Universal Credit and working age operations across Great Britain via jobcentres and service centres; the provision of all working age face-to-face services through jobcentres, including the relationship with employers and other external partners.</t>
  </si>
  <si>
    <t>Couling</t>
  </si>
  <si>
    <t>Neil</t>
  </si>
  <si>
    <t>Director General for Change and Resilience Group and Senior Responsible Owner for the Universal Credit Programme</t>
  </si>
  <si>
    <t>Is accountable to the Permanent Secretary for the leadership and delivery of DWPs Change and Resilience Group and Major Change Portfolio; and is accountable to Parliament for Universal Credit, the implementation of the government's main welfare reform programme.</t>
  </si>
  <si>
    <t>McKinnon</t>
  </si>
  <si>
    <t>Director General,  Digital and Chief Digital Information Officer</t>
  </si>
  <si>
    <t>Responsible for leading Digital, Data and Technology for the Department for Work and Pensions.</t>
  </si>
  <si>
    <t>Reynolds</t>
  </si>
  <si>
    <t>Amanda</t>
  </si>
  <si>
    <t>Director General, Service Excellence</t>
  </si>
  <si>
    <t>The DWP Director General, Service Excellence is responsible for the delivery of services across the lifecycles of UK households, from child maintenance to pensioners; cross-cutting services to all of DWP including operational responsibility for Fraud, Error and Debt, disputes and appeals; managing the transformation of services and ensuring that change is implemented successfully in an integrated way across our services and ensuring customer complaints and mandatory reconsiderations of decisions are properly handled, both on time and correctly.</t>
  </si>
  <si>
    <t>Schofield</t>
  </si>
  <si>
    <t>Permanent Secretary</t>
  </si>
  <si>
    <t>Overall leadership of the Department, its day to day operations and the Government's programme of major reform</t>
  </si>
  <si>
    <t>Counsel</t>
  </si>
  <si>
    <t>Other</t>
  </si>
  <si>
    <t>The Pensions Regulator</t>
  </si>
  <si>
    <t xml:space="preserve">Smart </t>
  </si>
  <si>
    <t>Sarah</t>
  </si>
  <si>
    <t>Parish</t>
  </si>
  <si>
    <t xml:space="preserve">Nicola </t>
  </si>
  <si>
    <t>Executive Director - Frontline Regulation</t>
  </si>
  <si>
    <t>Powell</t>
  </si>
  <si>
    <t>Aaron</t>
  </si>
  <si>
    <t>Interim Executive Director - Digital, Data and Technology</t>
  </si>
  <si>
    <t> </t>
  </si>
  <si>
    <t>Birch</t>
  </si>
  <si>
    <t>Mike</t>
  </si>
  <si>
    <t>Director Supervision - Frontline Regulation</t>
  </si>
  <si>
    <t>Siarkiewicz</t>
  </si>
  <si>
    <t>Caroline</t>
  </si>
  <si>
    <t>CEO's Office</t>
  </si>
  <si>
    <t>Money and Pensions Service</t>
  </si>
  <si>
    <t>Singh</t>
  </si>
  <si>
    <t>Mal</t>
  </si>
  <si>
    <t>Chief Financial Officer</t>
  </si>
  <si>
    <t>Finance</t>
  </si>
  <si>
    <t>Albon</t>
  </si>
  <si>
    <t>Chief Executive</t>
  </si>
  <si>
    <t>HSE's purpose is to prevent death, injury and ill health to those at work and those affected by work activities</t>
  </si>
  <si>
    <t>Health &amp; Safety Executive</t>
  </si>
  <si>
    <t>MacDonald</t>
  </si>
  <si>
    <t>Angela</t>
  </si>
  <si>
    <t>Second Permanent Secretary</t>
  </si>
  <si>
    <t>His Majesty's Revenue and Customs</t>
  </si>
  <si>
    <t>HMRC</t>
  </si>
  <si>
    <t>Paterson</t>
  </si>
  <si>
    <t>Kelly</t>
  </si>
  <si>
    <t>Chief Information and Security Officer</t>
  </si>
  <si>
    <t>Chief Digital and Information Officer</t>
  </si>
  <si>
    <t>Etheridge</t>
  </si>
  <si>
    <t>Julie</t>
  </si>
  <si>
    <t>Director</t>
  </si>
  <si>
    <t>Borders and Trade</t>
  </si>
  <si>
    <t>Holliday</t>
  </si>
  <si>
    <t>Justin</t>
  </si>
  <si>
    <t>Chief Finance Officer</t>
  </si>
  <si>
    <t>Harra</t>
  </si>
  <si>
    <t>Chief Executive and First Permanent Secretary</t>
  </si>
  <si>
    <t>Rehal</t>
  </si>
  <si>
    <t>Daljit</t>
  </si>
  <si>
    <t>Homa</t>
  </si>
  <si>
    <t>DG Defence Medical Services</t>
  </si>
  <si>
    <t>Responsible for ensuring the safe, efficient and effective delivery of healthcare to Army, Navy and RAF personnel across the globe.</t>
  </si>
  <si>
    <t>Ministry of Defence</t>
  </si>
  <si>
    <t>Forte</t>
  </si>
  <si>
    <t>Chief Information Officer</t>
  </si>
  <si>
    <t>Leading the creation and maintenance of the Defence Information Strategy ensuring the overall cohesion of all Information Technology activity across Defence.</t>
  </si>
  <si>
    <t>Williams</t>
  </si>
  <si>
    <t>David</t>
  </si>
  <si>
    <t xml:space="preserve">Principal civilian adviser on Defence with primary responsibility for policy, finance and planning; and also, the Departmental Accounting Officer. </t>
  </si>
  <si>
    <t>Brewer</t>
  </si>
  <si>
    <t>Infrastructure Chief Operating Officer</t>
  </si>
  <si>
    <t>Responsible for providing a coherent, whole estate picture of the operations programme and delivery of service across DIO, advising senior leaders on operational performance and risk, and managing the programmes within time and budget.</t>
  </si>
  <si>
    <t xml:space="preserve">McLean </t>
  </si>
  <si>
    <t xml:space="preserve">Angela </t>
  </si>
  <si>
    <t>Chief Scientific Adviser</t>
  </si>
  <si>
    <t>Directing MOD's core science and technology research portfolio, which keeps the armed forces at the cutting edge of new technological developments.</t>
  </si>
  <si>
    <t>Lee</t>
  </si>
  <si>
    <t>Laurence</t>
  </si>
  <si>
    <t>This role covers Defence’s Transformation work, Science and Technology, Digital Transformation, and establishing the Secretary of State’s new Office of Net Assessment and Challenge (SONAC).</t>
  </si>
  <si>
    <t>Green</t>
  </si>
  <si>
    <t xml:space="preserve">Mike </t>
  </si>
  <si>
    <t>Chief Executive - DIO</t>
  </si>
  <si>
    <t>Responsible for developing and delivering against infrastructure objectives and deliverables set out in the Defence Plan, Defence Infrastructure Direction and Command Infrastructure Delivery Plans.</t>
  </si>
  <si>
    <t xml:space="preserve">Cope </t>
  </si>
  <si>
    <t xml:space="preserve">Nina </t>
  </si>
  <si>
    <t xml:space="preserve">Chief Operating Officer </t>
  </si>
  <si>
    <t>Responsible for leading integration and modernisation within and across MOD, strengthening functions and ensuring MOD contributes to wider government programmes including Civil Service Reform and Corporate Services Modernisation.</t>
  </si>
  <si>
    <t>Bathurst</t>
  </si>
  <si>
    <t>Benjamin</t>
  </si>
  <si>
    <t>Lieutenant General</t>
  </si>
  <si>
    <t>UK Mil Rep HQ NATO</t>
  </si>
  <si>
    <t>Blount</t>
  </si>
  <si>
    <t xml:space="preserve">Keith </t>
  </si>
  <si>
    <t>Vice Admiral</t>
  </si>
  <si>
    <t>Commander Allied Maritime Command</t>
  </si>
  <si>
    <t>Burns</t>
  </si>
  <si>
    <t>Fleet Commander</t>
  </si>
  <si>
    <t>Byford</t>
  </si>
  <si>
    <t>Maria</t>
  </si>
  <si>
    <t>Air Vice Marshal</t>
  </si>
  <si>
    <t>Chief of Staff Personnel Air</t>
  </si>
  <si>
    <t xml:space="preserve">Carleton-Smith </t>
  </si>
  <si>
    <t>Mark</t>
  </si>
  <si>
    <t>General</t>
  </si>
  <si>
    <t>Terminal Leave</t>
  </si>
  <si>
    <t>Philip</t>
  </si>
  <si>
    <t>Commander Defence Primary Healthcare</t>
  </si>
  <si>
    <t xml:space="preserve">Ian </t>
  </si>
  <si>
    <t>Commander Home Command</t>
  </si>
  <si>
    <t>Collett</t>
  </si>
  <si>
    <t>Commander Joint Hospital Group</t>
  </si>
  <si>
    <t>Crowson</t>
  </si>
  <si>
    <t>Elizabeth</t>
  </si>
  <si>
    <t>Commandant Defence Medical Academy</t>
  </si>
  <si>
    <t>Daborn</t>
  </si>
  <si>
    <t>Dale</t>
  </si>
  <si>
    <t>Workforce Resilience</t>
  </si>
  <si>
    <t>Finn</t>
  </si>
  <si>
    <t>Antony</t>
  </si>
  <si>
    <t>Director Personnel Health</t>
  </si>
  <si>
    <t>Fraser</t>
  </si>
  <si>
    <t>Admiral</t>
  </si>
  <si>
    <t>Awaiting Assignment</t>
  </si>
  <si>
    <t>Gale</t>
  </si>
  <si>
    <t>Air Marshal</t>
  </si>
  <si>
    <t>Director General Joint Force Development</t>
  </si>
  <si>
    <t>Gardner</t>
  </si>
  <si>
    <t>Christopher</t>
  </si>
  <si>
    <t>Hockenhull</t>
  </si>
  <si>
    <t>Commander UK Strategic Command</t>
  </si>
  <si>
    <t>Hodgetts</t>
  </si>
  <si>
    <t>Major General</t>
  </si>
  <si>
    <t>Surgeon General</t>
  </si>
  <si>
    <t>Houghton</t>
  </si>
  <si>
    <t>Luke</t>
  </si>
  <si>
    <t>Head Healthcare Plans</t>
  </si>
  <si>
    <t>Jenkins</t>
  </si>
  <si>
    <t>Gwyn</t>
  </si>
  <si>
    <t>Vice Chief of Defence Staff</t>
  </si>
  <si>
    <t>Key</t>
  </si>
  <si>
    <t>First Sea Lord / Chief of Naval Staff</t>
  </si>
  <si>
    <t>Professional Head of the Royal Navy</t>
  </si>
  <si>
    <t>Knighton</t>
  </si>
  <si>
    <t>Deputy Commander Capability and Air Member for Personnel and Capability</t>
  </si>
  <si>
    <t>Magowan</t>
  </si>
  <si>
    <t>Robert</t>
  </si>
  <si>
    <t>Deputy Chief of the Defence Staff Military Capability</t>
  </si>
  <si>
    <t>Military Capability</t>
  </si>
  <si>
    <t>Marshall</t>
  </si>
  <si>
    <t>Fleur</t>
  </si>
  <si>
    <t>Head of Naval Healthcare</t>
  </si>
  <si>
    <t>Mayhew</t>
  </si>
  <si>
    <t>Gerard</t>
  </si>
  <si>
    <t>McLoughlin</t>
  </si>
  <si>
    <t>McNee</t>
  </si>
  <si>
    <t>Head Operational Medical Capability</t>
  </si>
  <si>
    <t>Radakin</t>
  </si>
  <si>
    <t>Chief of the Defence Staff</t>
  </si>
  <si>
    <t>Radford</t>
  </si>
  <si>
    <t>Deputy Supreme Allied Commander Europe</t>
  </si>
  <si>
    <t>Robinson</t>
  </si>
  <si>
    <t>Guy</t>
  </si>
  <si>
    <t>Chief of Staff of NATO Allied Command Transformation</t>
  </si>
  <si>
    <t>Sampson</t>
  </si>
  <si>
    <t>Defence Senior Advisor to the Middle East and North Africa</t>
  </si>
  <si>
    <t>Sanders</t>
  </si>
  <si>
    <t>Patrick</t>
  </si>
  <si>
    <t>Chief of the General Staff</t>
  </si>
  <si>
    <t>Professional Head of the British Army</t>
  </si>
  <si>
    <t>Skeates</t>
  </si>
  <si>
    <t>Secondee</t>
  </si>
  <si>
    <t>Swift</t>
  </si>
  <si>
    <t>Chief of Defence People</t>
  </si>
  <si>
    <t>Thompson</t>
  </si>
  <si>
    <t>Director General Air</t>
  </si>
  <si>
    <t>Tickell</t>
  </si>
  <si>
    <t>Walker</t>
  </si>
  <si>
    <t>Deputy Chief of the Defence Staff Military Strategy</t>
  </si>
  <si>
    <t>Walton</t>
  </si>
  <si>
    <t>Clare</t>
  </si>
  <si>
    <t>Director Defence Medical Personnel and Training</t>
  </si>
  <si>
    <t>Wardlaw</t>
  </si>
  <si>
    <t>Chief of Defence Logistics and Support</t>
  </si>
  <si>
    <t>Wigston</t>
  </si>
  <si>
    <t>Michael</t>
  </si>
  <si>
    <t>Air Chief Marshal</t>
  </si>
  <si>
    <t>Chief of the Air Staff</t>
  </si>
  <si>
    <t>Professional Head of the Royal Air Force</t>
  </si>
  <si>
    <t>Wilson</t>
  </si>
  <si>
    <t>Duncan</t>
  </si>
  <si>
    <t>Medical Director UK Strategic Command</t>
  </si>
  <si>
    <t>Withnall</t>
  </si>
  <si>
    <t>Director Defence Healthcare</t>
  </si>
  <si>
    <t>Wooddisse</t>
  </si>
  <si>
    <t>Ralph</t>
  </si>
  <si>
    <t>Commander Field Army</t>
  </si>
  <si>
    <t>Beckett</t>
  </si>
  <si>
    <t>Keith Andrew</t>
  </si>
  <si>
    <t>Director Technical</t>
  </si>
  <si>
    <t>Responsible for engineering, technology, safety and quality, strategy and change. Deputy CEO and Chief Strategic Systems Executive and UK Project Officer under the Polaris Sales Agreement between the UK and the United States.</t>
  </si>
  <si>
    <t>Submarine Delivery Agency</t>
  </si>
  <si>
    <t>McMillan</t>
  </si>
  <si>
    <t>Alexander</t>
  </si>
  <si>
    <t>Managing Director Alliance</t>
  </si>
  <si>
    <t>Responsible for delivering the Dreadnought Programme, to replace the current Vanguard platforms and maintain Continuous At Sea Deterrence (CASD); consisting of design, build, testing and commissioning of the four new platforms and initial support and training arrangements.</t>
  </si>
  <si>
    <t>Bruce</t>
  </si>
  <si>
    <t>Chief Finance Officer (CFO)</t>
  </si>
  <si>
    <t>CFO and Finance Functional Manager Head. Responsible for Finance and Risk</t>
  </si>
  <si>
    <t>Morris</t>
  </si>
  <si>
    <t>DNE Skills Programme SRO</t>
  </si>
  <si>
    <t>Lead the Defence Nuclear Enterprise Transformation Programme</t>
  </si>
  <si>
    <t>Osofsky</t>
  </si>
  <si>
    <t>Lisa</t>
  </si>
  <si>
    <t>Director of the SFO / Accounting Officer</t>
  </si>
  <si>
    <t>Attorney General's Office</t>
  </si>
  <si>
    <t>Serious Fraud Office</t>
  </si>
  <si>
    <t>Lawson</t>
  </si>
  <si>
    <t>Sara</t>
  </si>
  <si>
    <t>General Counsel</t>
  </si>
  <si>
    <t>Head of Role for Legal Profession</t>
  </si>
  <si>
    <t>Biggar</t>
  </si>
  <si>
    <t>Graeme</t>
  </si>
  <si>
    <t>Director General NCA</t>
  </si>
  <si>
    <t>Head of the National Crime Agency</t>
  </si>
  <si>
    <t>National Crime Agency</t>
  </si>
  <si>
    <t>Rodhouse</t>
  </si>
  <si>
    <t>Director General Operations</t>
  </si>
  <si>
    <t>Responsibility for the running of the Agency's response to serious and organised crime threats.</t>
  </si>
  <si>
    <t>Director General National Economic Crime Centre</t>
  </si>
  <si>
    <t>Responsibility for the running of the Agency's National Economic Crime Centre</t>
  </si>
  <si>
    <t>Larkinson</t>
  </si>
  <si>
    <t>John</t>
  </si>
  <si>
    <t xml:space="preserve">Responsible for the delivery of the strategy set by the ORR Board; carrying out the duties assigned to ORR under statute; ensuring the Office operates efficiently, with integrity and probity; working closely with the ORR chair, to engage with external stakeholders at all levels. </t>
  </si>
  <si>
    <t>Department for Transport</t>
  </si>
  <si>
    <t>Office of Rail and Road</t>
  </si>
  <si>
    <t>Gisby</t>
  </si>
  <si>
    <t>Robin</t>
  </si>
  <si>
    <t>DfT OLR Holdings Limited</t>
  </si>
  <si>
    <t>Harrison</t>
  </si>
  <si>
    <t>Group Chief Financial Officer</t>
  </si>
  <si>
    <t>Finance Director</t>
  </si>
  <si>
    <t>George</t>
  </si>
  <si>
    <t xml:space="preserve">Non Executive Chair </t>
  </si>
  <si>
    <t>Hawthorne</t>
  </si>
  <si>
    <t>LCR CEO</t>
  </si>
  <si>
    <t>General management of LCR. LCR manages, develops and disposes of property assets within a railway context, driving growth and regeneration.</t>
  </si>
  <si>
    <t>London and Continental Railways LCR</t>
  </si>
  <si>
    <t>Wilkinson</t>
  </si>
  <si>
    <t>Managing Director of Passenger Services</t>
  </si>
  <si>
    <t>Responsible for the design, procurement and day to day management of passenger railway services contracts in England and Wales.</t>
  </si>
  <si>
    <t>Maxwell</t>
  </si>
  <si>
    <t>Clive</t>
  </si>
  <si>
    <t>Director General of High Speed Rail Group</t>
  </si>
  <si>
    <t>Responsible for the management of High Speed Rail Group</t>
  </si>
  <si>
    <t>Hughes</t>
  </si>
  <si>
    <t>Director General of Rail Infrastructure Group</t>
  </si>
  <si>
    <t>Responsible for the management of Rail Infrastructure Group</t>
  </si>
  <si>
    <t>Bernadette</t>
  </si>
  <si>
    <t>DfT Permanent Secretary</t>
  </si>
  <si>
    <t>Responsible for the overall management of DfT</t>
  </si>
  <si>
    <t>Davies</t>
  </si>
  <si>
    <t>Gareth</t>
  </si>
  <si>
    <t>DfT Second Permanent Secretary</t>
  </si>
  <si>
    <t>Thurston</t>
  </si>
  <si>
    <t>Deliver the HS2 program to safety, cost, time and quality standards to transform Britain's capacity, connectivity, trains, passenger experiences and travel sustainability while driving growth and regeneration.</t>
  </si>
  <si>
    <t>High Speed Two Ltd</t>
  </si>
  <si>
    <t>Rayner</t>
  </si>
  <si>
    <t>Delivery Director - Stations and Systems</t>
  </si>
  <si>
    <t>Lead of Rolling stock programmes and Rail Systems, accountable for the delivery of the HS2 programme and a railway that meets the Sponsor requirements</t>
  </si>
  <si>
    <t>Todd</t>
  </si>
  <si>
    <t>Chief Commercial Officer</t>
  </si>
  <si>
    <t>Provide leadership to HR and ensure HS2 delivers its goals. Attract, Retain, develop and motivate diverse talent to ensure the project is completed internally and across the supply chain</t>
  </si>
  <si>
    <t>Whitbourn</t>
  </si>
  <si>
    <t>Euston Area Director</t>
  </si>
  <si>
    <t>Lead and establish a collaborative culture across Euston Integrated Project Teams (IPT) which consist of both HS2 and supply chain roles to deliver the Euston Station and wider area</t>
  </si>
  <si>
    <t>Lyons</t>
  </si>
  <si>
    <t>Delivery Director - Civils</t>
  </si>
  <si>
    <t>Oversee construction of Phase 1 (London to Birmingham) in a safety manor with delivery partners to ensure the delivery of the railway is to operations within schedule and budget</t>
  </si>
  <si>
    <t>Smart</t>
  </si>
  <si>
    <t>Phase Two Managing Director</t>
  </si>
  <si>
    <t>Develop and manage the teams responsible for delivery of the Hybrid Bill and Phase 2, ensuring complex planning and consultation issues are efficiently dealt with through robust programme management and effective communication.</t>
  </si>
  <si>
    <t>Hickson</t>
  </si>
  <si>
    <t>Land and Property Director</t>
  </si>
  <si>
    <t>Lead the development and implementation of the strategy, processes and systems and lead a team of professionals who will assess, manage and negotiate route-wide land and property acquisition and manage the acquired estate in order that will enable HS2 Ltd to deliver its remit</t>
  </si>
  <si>
    <t>Head</t>
  </si>
  <si>
    <t>Emma</t>
  </si>
  <si>
    <t>Delivery Director - Technical Services</t>
  </si>
  <si>
    <t>Responsible for technical standards across HS2, supporting with design and construction in accordance to government approvals. Accountable for Health and Safety on the executive, cost, schedule, performance, control effectiveness and support decision making and provide confidence to stakeholders</t>
  </si>
  <si>
    <t>Giles</t>
  </si>
  <si>
    <t>Phase One Engineering Director</t>
  </si>
  <si>
    <t>Lead and direct the railway systems design and specifications for the high speed rail network within the requirements of HS2 Ltd, whilst developing the strategy, processes and systems needed to deliver on these.</t>
  </si>
  <si>
    <t>Aileen</t>
  </si>
  <si>
    <t>Director - Communications and Stakeholder Management</t>
  </si>
  <si>
    <t>Lead the communications and engagement function providing professional advice, expertise and leadership on all aspects of communication, staff and stakeholder engagement, maximising opportunities to promote HS2 Ltd, building and protecting its brand and reputation.</t>
  </si>
  <si>
    <t>Howard</t>
  </si>
  <si>
    <t>Chief Engineer</t>
  </si>
  <si>
    <t>Act as the Engineering Technical Authority for HS2, determining the engineering specification of all aspects of HS2 and its ultimate system integration.</t>
  </si>
  <si>
    <t>Smith</t>
  </si>
  <si>
    <t>Iain</t>
  </si>
  <si>
    <t>Systems Delivery Director</t>
  </si>
  <si>
    <t xml:space="preserve">Responsible for delivery of the Rail Systems and Rolling Stock programmes and integration of high-speed railway systems that meets Sponsor requirements </t>
  </si>
  <si>
    <t>Miller</t>
  </si>
  <si>
    <t>Environment Director</t>
  </si>
  <si>
    <t>Management of Environmental activities</t>
  </si>
  <si>
    <t>King Mahoney</t>
  </si>
  <si>
    <t>Community Engagement Director</t>
  </si>
  <si>
    <t xml:space="preserve">Provide strategic leadership for the development and delivery of the Community engagement strategy, </t>
  </si>
  <si>
    <t>Cubitt</t>
  </si>
  <si>
    <t>Procurement &amp; Supply Chain Director</t>
  </si>
  <si>
    <t>Leading a high performing procurement team to deliver cost effect and compliant solutions to support the delivery of HS2 on time and on budget.</t>
  </si>
  <si>
    <t>Rule</t>
  </si>
  <si>
    <t>Infrastructure Management Director</t>
  </si>
  <si>
    <t>Responsible for the successful development of the HS2 railway operation and its asset management.</t>
  </si>
  <si>
    <t>Fink</t>
  </si>
  <si>
    <t>Steven</t>
  </si>
  <si>
    <t>Head of HSE Operations</t>
  </si>
  <si>
    <t xml:space="preserve">Responsible for setting the strategic direction for health, safety and the environment and develop a safety culture that is sustainable across safety, wellbeing, compliance, the environment and the supply chain </t>
  </si>
  <si>
    <t>Codling</t>
  </si>
  <si>
    <t>Malcolm</t>
  </si>
  <si>
    <t>Project Client - SCS</t>
  </si>
  <si>
    <t xml:space="preserve">Client leadership role accountable for the management of all client functions and the leadership of the client team within the Integrated Project Team (IPT). </t>
  </si>
  <si>
    <t>Sollitt</t>
  </si>
  <si>
    <t>Client Services Director</t>
  </si>
  <si>
    <t>Accountable for leading and establishing a collaborative culture across construction to deliver the integration of all supporting elements of the enabling works contracts (EWC)</t>
  </si>
  <si>
    <t>Perinpanayagam</t>
  </si>
  <si>
    <t>Rohan</t>
  </si>
  <si>
    <t>Project Client - EKFB (Interim)</t>
  </si>
  <si>
    <t>Accountable for the management of all client functions and client team within EKFB and assuring the safe, timely, compliant and economic commercial management of complex infrastructure programmes.</t>
  </si>
  <si>
    <t>Morley</t>
  </si>
  <si>
    <t>Amy</t>
  </si>
  <si>
    <t>Programme Management Office Director</t>
  </si>
  <si>
    <t>Lead the development, implementation and operation of the PMO, that identifies efficiencies and mitigates risks at strategic, Business Unit and individual project level.</t>
  </si>
  <si>
    <t>Johnson</t>
  </si>
  <si>
    <t>Shira</t>
  </si>
  <si>
    <t>HR Director (Interim)</t>
  </si>
  <si>
    <t>Lead HS2 in recruiting, retaining, developing and rewarding people with the necessary skills and knowledge to deliver the HS2’s vision and objectives of being a catalyst for growth across Britain.  Accountable for driving the HS2 people strategy and managing the HR team, policies, procedures and processes within our governance framework. Ensure HS2’s target operating model provides an agile, performance driven and effective organisation to achieve the challenging targets and timelines of the programme.</t>
  </si>
  <si>
    <t>Batey</t>
  </si>
  <si>
    <t>Alexandra</t>
  </si>
  <si>
    <t>Phase 2b Development Director</t>
  </si>
  <si>
    <t xml:space="preserve">Lead the development and delivery for Phase 2B and prepare for construction, development and procurement strategy leading to the safe delivery of Phase 2B achieving the outcomes specified by the DfT </t>
  </si>
  <si>
    <t>Project Client - Euston</t>
  </si>
  <si>
    <t>Accountable for the management of client functions and client team within Euston assuring safe, timely, compliant and economic commercial management of complex infrastructure</t>
  </si>
  <si>
    <t>Pimlott</t>
  </si>
  <si>
    <t>Lorna</t>
  </si>
  <si>
    <t>Phase Two Sponsorship Director</t>
  </si>
  <si>
    <t>Manage a number of key interfaces between the HS2 delivery teams and the wider HS2 organisations.</t>
  </si>
  <si>
    <t>Whittingham</t>
  </si>
  <si>
    <t>Anna</t>
  </si>
  <si>
    <t>Lead a team of professionals to ensure delivery of legal functions. Responsible for all legal services provided to HS2.</t>
  </si>
  <si>
    <t>Mortimer</t>
  </si>
  <si>
    <t>Lead the HS2 Finance team including; financial reporting, financial accounting, controls, accounts payable, payroll, insurance, financial governance, and treasury.  Accountable for estates and facilities management including; accommodation strategy, estate management, facilities management, business continuity planning</t>
  </si>
  <si>
    <t>Edwards</t>
  </si>
  <si>
    <t>Huw</t>
  </si>
  <si>
    <t>Project Client - Old Oak Common</t>
  </si>
  <si>
    <t>Accountable for the management of client functions and client team within Old Oak Common assuring safe, timely, compliant and economic commercial management of complex infrastructure</t>
  </si>
  <si>
    <t>Gilbert</t>
  </si>
  <si>
    <t>Geoffrey</t>
  </si>
  <si>
    <t>Head of Commercial - SCS</t>
  </si>
  <si>
    <t>Responsible for providing the appropriate commercial input to the development procurement and commercial strategies and package procurement plans for the major infrastructure contracts t</t>
  </si>
  <si>
    <t>Richardson</t>
  </si>
  <si>
    <t>Head of Commercial 2a</t>
  </si>
  <si>
    <t>Leading commercial activities within the 2a delivery team, providing commercial input to procurement of these contracts. Co-ordinating and aligning commercial activities with senior functional delivery leaders.</t>
  </si>
  <si>
    <t>Archer</t>
  </si>
  <si>
    <t>Jacqueline Anne</t>
  </si>
  <si>
    <t>Commercial Delivery Director - Rolling Stock &amp; Systems</t>
  </si>
  <si>
    <t>Responsible for commercial management of the contract between HS2 and the selected Train Manufacture and Maintainer for Rolling Stock to be procured for High Speed Railway</t>
  </si>
  <si>
    <t>Spittall</t>
  </si>
  <si>
    <t>Head of Property Services</t>
  </si>
  <si>
    <t>Management of property services</t>
  </si>
  <si>
    <t>Eckett</t>
  </si>
  <si>
    <t>Head of Acquisitions</t>
  </si>
  <si>
    <t>Lead Acquisitions activities</t>
  </si>
  <si>
    <t>Planning and Integration Director</t>
  </si>
  <si>
    <t>Owning the integration of the programme baseline across cost, risk and schedule, developing and planning policies, processes and standards ensuring these are executed across HS2</t>
  </si>
  <si>
    <t>Newton</t>
  </si>
  <si>
    <t>Engineering Director - Route Wide</t>
  </si>
  <si>
    <t>Provide technical leadership and consistency across schemes within Client Services, route wide rail systems and systems safety</t>
  </si>
  <si>
    <t>Russell</t>
  </si>
  <si>
    <t>Cost and Estimating Director</t>
  </si>
  <si>
    <t>Managing the overall programme cost and providing strategic leadership, cost management, policies, processes and standards across HS2</t>
  </si>
  <si>
    <t>Hobson</t>
  </si>
  <si>
    <t>Engineering Director - Civils</t>
  </si>
  <si>
    <t>Lead the civil engineering design, specification and assurance for HS2 ensuring the design delivers the requirements by developing the strategy, processes and systems to support</t>
  </si>
  <si>
    <t>Jordan</t>
  </si>
  <si>
    <t>Quality and Assurance Director</t>
  </si>
  <si>
    <t>Accountable for assuring the railway will be constructed and delivered into operation to meet cost, schedule and stakeholder requirements. Also making sure HS2 meets its obligations of managing public money</t>
  </si>
  <si>
    <t>Curson</t>
  </si>
  <si>
    <t>Head of Delivery Project (Track and IMD Project)</t>
  </si>
  <si>
    <t xml:space="preserve">Lead Track and IMD projects through the development of the specification and tender documents, procurement and the subsequent delivery </t>
  </si>
  <si>
    <t>Emms</t>
  </si>
  <si>
    <t>Project Director - Civils (Interim)</t>
  </si>
  <si>
    <t>Lead in the establishing operational and commercial excellence through the consistent implementation of client standards, policies, strategy and integration of programme level risk across the Civils IPT’s</t>
  </si>
  <si>
    <t>Evans</t>
  </si>
  <si>
    <t>Head of Project Controls</t>
  </si>
  <si>
    <t>Responsible for developing and integrating the project baseline across scope, time, cost, risk and quality across the programme. Support senior leaders across HS2 and supply chain making trade off decisions that best ensures the delivery of programme benefits.</t>
  </si>
  <si>
    <t>O'Brien</t>
  </si>
  <si>
    <t>Stacy</t>
  </si>
  <si>
    <t>Head of Commercial - Civils &amp; Services</t>
  </si>
  <si>
    <t>Leading commercial activities within the delivery teams, managing of major infrastructure contracts required to deliver HS2</t>
  </si>
  <si>
    <t>Danby</t>
  </si>
  <si>
    <t>Head of Commercial Development Phase 1 North</t>
  </si>
  <si>
    <t>Lead all commercial staff engaged in the delivery of Phase One North Infrastructure programme.</t>
  </si>
  <si>
    <t>Levy</t>
  </si>
  <si>
    <t>Graham</t>
  </si>
  <si>
    <t>Assistant General Counsel</t>
  </si>
  <si>
    <t>Deliver expert legal advice to HS2 and key internal stakeholders in order to optimise contractual outcomes for HS2</t>
  </si>
  <si>
    <t>West</t>
  </si>
  <si>
    <t>Beth</t>
  </si>
  <si>
    <t>To provide executive leadership to EWR Co  in the development and delivery of East West Rail.</t>
  </si>
  <si>
    <t>East West Rail Company</t>
  </si>
  <si>
    <t>Gallagher</t>
  </si>
  <si>
    <t>William</t>
  </si>
  <si>
    <t>Strategy Director</t>
  </si>
  <si>
    <t xml:space="preserve">To lead the definition and delivery of EWR Co.’s strategy in order to meet company's objectives. </t>
  </si>
  <si>
    <t xml:space="preserve">Parker </t>
  </si>
  <si>
    <t>Programme Delivery Director</t>
  </si>
  <si>
    <t>To ensure that an integrated approach is taken across the programme as a whole and that the phased outputs meet their associated requirements</t>
  </si>
  <si>
    <t>Scott</t>
  </si>
  <si>
    <t>Engineering Director</t>
  </si>
  <si>
    <t>To develop and maintain appropriate engineering standards, establish asset management strategies, monitor design compliance and approve designs through a review and assurance process</t>
  </si>
  <si>
    <t>Sachdev</t>
  </si>
  <si>
    <t>Set the direction of EWR Co. Enable it to be a force for positive change both across the industry and for the people and communities it will serve</t>
  </si>
  <si>
    <t>Massey</t>
  </si>
  <si>
    <t>Alan</t>
  </si>
  <si>
    <t>Non-Executive Director</t>
  </si>
  <si>
    <t>Chairman of the Lighthouse Board</t>
  </si>
  <si>
    <t>Trinity House</t>
  </si>
  <si>
    <t>D'Orsi</t>
  </si>
  <si>
    <t>Lucy</t>
  </si>
  <si>
    <t>Chief Constable</t>
  </si>
  <si>
    <t>Chief Constable of the British Transport Police</t>
  </si>
  <si>
    <t>British Transport Police Authority</t>
  </si>
  <si>
    <t>Ind</t>
  </si>
  <si>
    <t>Hugh</t>
  </si>
  <si>
    <t>Chief Executive of the British Transport Police Authority and Accounting Officer of the BTP Fund</t>
  </si>
  <si>
    <t>Moriaty</t>
  </si>
  <si>
    <t>Chair &amp; CEO Office</t>
  </si>
  <si>
    <t>Civil Aviation Authority</t>
  </si>
  <si>
    <t>Hillier</t>
  </si>
  <si>
    <t>Tingle</t>
  </si>
  <si>
    <t>Chief Operating Officer</t>
  </si>
  <si>
    <t>Kelleher</t>
  </si>
  <si>
    <t>Padhraic</t>
  </si>
  <si>
    <t>Air Navigation Commissioner</t>
  </si>
  <si>
    <t>International Group</t>
  </si>
  <si>
    <t>Bishton</t>
  </si>
  <si>
    <t>GDSARG</t>
  </si>
  <si>
    <t>Safety and Airspace Regulation Group</t>
  </si>
  <si>
    <t>Paul</t>
  </si>
  <si>
    <t>Group Director, Consumers &amp; Markets</t>
  </si>
  <si>
    <t>Consumers and Markets Group</t>
  </si>
  <si>
    <t>Drissell</t>
  </si>
  <si>
    <t>Director  Aviation Security</t>
  </si>
  <si>
    <t>Aviation Security</t>
  </si>
  <si>
    <t>Policy Director</t>
  </si>
  <si>
    <t>Corporate Strategy and Policy</t>
  </si>
  <si>
    <t>Hastings</t>
  </si>
  <si>
    <t>Norma</t>
  </si>
  <si>
    <t>Head of HR Strategy &amp; Policy</t>
  </si>
  <si>
    <t>Human Resources</t>
  </si>
  <si>
    <t>Round</t>
  </si>
  <si>
    <t>Head of Airspace, Air Traffic Management &amp; Aerodro</t>
  </si>
  <si>
    <t>Cosgrove</t>
  </si>
  <si>
    <t>Jane</t>
  </si>
  <si>
    <t>People Director</t>
  </si>
  <si>
    <t>Kenley</t>
  </si>
  <si>
    <t xml:space="preserve">CAAPS </t>
  </si>
  <si>
    <t>Spence</t>
  </si>
  <si>
    <t>General Counsel &amp; Company Secretary</t>
  </si>
  <si>
    <t>Office of General Counsel</t>
  </si>
  <si>
    <t>Trudgill</t>
  </si>
  <si>
    <t>Kaufman</t>
  </si>
  <si>
    <t>Communications Director</t>
  </si>
  <si>
    <t>Communications</t>
  </si>
  <si>
    <t>Glenn</t>
  </si>
  <si>
    <t>Head of Flight Operations</t>
  </si>
  <si>
    <t>McCorquodale</t>
  </si>
  <si>
    <t>Technical Lead - Flight Operations</t>
  </si>
  <si>
    <t>Alcott</t>
  </si>
  <si>
    <t>International Director</t>
  </si>
  <si>
    <t>Chesney</t>
  </si>
  <si>
    <t>Head of Air Safety Unit</t>
  </si>
  <si>
    <t>Harris</t>
  </si>
  <si>
    <t>Nicholas</t>
  </si>
  <si>
    <t>National Highways</t>
  </si>
  <si>
    <t>Howlison</t>
  </si>
  <si>
    <t>Vanessa</t>
  </si>
  <si>
    <t>Finance &amp; Business Services</t>
  </si>
  <si>
    <t>Dare</t>
  </si>
  <si>
    <t>Executive Director of Commercial and Procurement</t>
  </si>
  <si>
    <t>Commercial &amp; Procurement</t>
  </si>
  <si>
    <t xml:space="preserve"> Executive Director of Operations</t>
  </si>
  <si>
    <t>Operations Directorate</t>
  </si>
  <si>
    <t>Sporn</t>
  </si>
  <si>
    <t>Dean</t>
  </si>
  <si>
    <t>RIP Director</t>
  </si>
  <si>
    <t>Major Projects</t>
  </si>
  <si>
    <t>Bray</t>
  </si>
  <si>
    <t>Smart Motorways Programme Director</t>
  </si>
  <si>
    <t>Taylor</t>
  </si>
  <si>
    <t>Divisional Director CIP</t>
  </si>
  <si>
    <t>Shaw</t>
  </si>
  <si>
    <t>Elliot</t>
  </si>
  <si>
    <t>Chief Customer and Strategy Officer</t>
  </si>
  <si>
    <t>Customer, Strategy and Communications</t>
  </si>
  <si>
    <t>Shah</t>
  </si>
  <si>
    <t>Dipesh</t>
  </si>
  <si>
    <t>Non-Executive Chairperson</t>
  </si>
  <si>
    <t>Cearns</t>
  </si>
  <si>
    <t>Kathryn</t>
  </si>
  <si>
    <t>Haines</t>
  </si>
  <si>
    <t>Board</t>
  </si>
  <si>
    <t>Network Rail</t>
  </si>
  <si>
    <t>Westlake</t>
  </si>
  <si>
    <t>Handforth</t>
  </si>
  <si>
    <t>Michelle</t>
  </si>
  <si>
    <t>Managing Director, Wales &amp; Western</t>
  </si>
  <si>
    <t>Wales &amp; Western Region</t>
  </si>
  <si>
    <t>Hynes</t>
  </si>
  <si>
    <t>Managing Director, Scotland's Railway</t>
  </si>
  <si>
    <t>Scotland Region</t>
  </si>
  <si>
    <t>McIntosh</t>
  </si>
  <si>
    <t>Managing Director, Eastern</t>
  </si>
  <si>
    <t>Eastern Region</t>
  </si>
  <si>
    <t>Halsall</t>
  </si>
  <si>
    <t>Managing Director, Southern</t>
  </si>
  <si>
    <t>Southern Region</t>
  </si>
  <si>
    <t>Shoveller</t>
  </si>
  <si>
    <t>Managing Director, North West &amp; Central</t>
  </si>
  <si>
    <t>North West &amp; Central Region</t>
  </si>
  <si>
    <t>Hendy</t>
  </si>
  <si>
    <t>Morton</t>
  </si>
  <si>
    <t>Managing Director, Route Services</t>
  </si>
  <si>
    <t>Route Services</t>
  </si>
  <si>
    <t>Frobisher</t>
  </si>
  <si>
    <t>Group Safety &amp; Engineering Director</t>
  </si>
  <si>
    <t>Technical Authority</t>
  </si>
  <si>
    <t>Jacob</t>
  </si>
  <si>
    <t>Group Director, System Operator</t>
  </si>
  <si>
    <t>System Operator</t>
  </si>
  <si>
    <t>Mckeown</t>
  </si>
  <si>
    <t>Special Projects Director</t>
  </si>
  <si>
    <t>Calvert</t>
  </si>
  <si>
    <t>Capital Delivery Director, Wales &amp; Western</t>
  </si>
  <si>
    <t>Dobson</t>
  </si>
  <si>
    <t>Group Property Director</t>
  </si>
  <si>
    <t>Property</t>
  </si>
  <si>
    <t>Holroyd</t>
  </si>
  <si>
    <t>Pauline</t>
  </si>
  <si>
    <t>Group Director, Human Resources</t>
  </si>
  <si>
    <t>Bratton</t>
  </si>
  <si>
    <t>Oliver</t>
  </si>
  <si>
    <t>Network Operations Director</t>
  </si>
  <si>
    <t>Holm</t>
  </si>
  <si>
    <t>Director, Transpennine Route Upgrade</t>
  </si>
  <si>
    <t>Beadles</t>
  </si>
  <si>
    <t>Susan</t>
  </si>
  <si>
    <t>Group General Counsel</t>
  </si>
  <si>
    <t>Legal &amp; Corporate Services</t>
  </si>
  <si>
    <t>Tarry</t>
  </si>
  <si>
    <t>Supply Chain Operations Director</t>
  </si>
  <si>
    <t>Robarts</t>
  </si>
  <si>
    <t>Director, Financial &amp; Regulatory Reform (GBRTT)</t>
  </si>
  <si>
    <t>Network Rail - Great British Railways Transition Team</t>
  </si>
  <si>
    <t>Hepburn</t>
  </si>
  <si>
    <t>Harriet</t>
  </si>
  <si>
    <t>Corporate Finance &amp; Business Development Director</t>
  </si>
  <si>
    <t>Ash</t>
  </si>
  <si>
    <t>Nigel</t>
  </si>
  <si>
    <t>Managing Director [Network Rail Consulting]</t>
  </si>
  <si>
    <t>Network Rail Consulting</t>
  </si>
  <si>
    <t>Penney</t>
  </si>
  <si>
    <t>Strategic Operations &amp; Passenger Experience Director, NW&amp;C</t>
  </si>
  <si>
    <t>Berrington</t>
  </si>
  <si>
    <t>Group Commercial &amp; Procurement Director</t>
  </si>
  <si>
    <t>Goodman</t>
  </si>
  <si>
    <t>Group Chief Information Officer</t>
  </si>
  <si>
    <t>O'Neill</t>
  </si>
  <si>
    <t>Eoin</t>
  </si>
  <si>
    <t>Capital Delivery Director, North West &amp; Central</t>
  </si>
  <si>
    <t>Cairns</t>
  </si>
  <si>
    <t>Capital Delivery Director, Eastern</t>
  </si>
  <si>
    <t>Burrows</t>
  </si>
  <si>
    <t>Eliska</t>
  </si>
  <si>
    <t>Route Director, Anglia</t>
  </si>
  <si>
    <t>Atterwell</t>
  </si>
  <si>
    <t>Director, Telecoms Asset Management</t>
  </si>
  <si>
    <t>Bowman</t>
  </si>
  <si>
    <t>Lawrence</t>
  </si>
  <si>
    <t>Network Strategy &amp; Reform Director</t>
  </si>
  <si>
    <t>Simmons</t>
  </si>
  <si>
    <t>Head of System Authority</t>
  </si>
  <si>
    <t>McMahon</t>
  </si>
  <si>
    <t>Director, Planning &amp; Regulation</t>
  </si>
  <si>
    <t>Planning &amp; Regulation</t>
  </si>
  <si>
    <t>Chandarana</t>
  </si>
  <si>
    <t>Anit</t>
  </si>
  <si>
    <t>Lead Director (GBRTT)</t>
  </si>
  <si>
    <t>Walden</t>
  </si>
  <si>
    <t>Capital Delivery Director, Southern</t>
  </si>
  <si>
    <t>Murray</t>
  </si>
  <si>
    <t>Director, Engineering &amp; Asset Management, Eastern</t>
  </si>
  <si>
    <t>Frost</t>
  </si>
  <si>
    <t>Katie</t>
  </si>
  <si>
    <t>Route Director, Sussex</t>
  </si>
  <si>
    <t>Austin</t>
  </si>
  <si>
    <t>Director, Engineering &amp; Asset Management, Wales &amp; Western</t>
  </si>
  <si>
    <t>Director, Engineering &amp; Asset Management, Southern</t>
  </si>
  <si>
    <t>Craddock</t>
  </si>
  <si>
    <t>Tim</t>
  </si>
  <si>
    <t>Human Resources Director, Eastern</t>
  </si>
  <si>
    <t>Group Controller</t>
  </si>
  <si>
    <t>Killick</t>
  </si>
  <si>
    <t>Route Director, Wessex</t>
  </si>
  <si>
    <t>Machnouk</t>
  </si>
  <si>
    <t>Toufic</t>
  </si>
  <si>
    <t>Director, Industry Partnership Digital</t>
  </si>
  <si>
    <t>Programme Director [Knowledge Hub]</t>
  </si>
  <si>
    <t>Capital Delivery Centre of Excellence</t>
  </si>
  <si>
    <t>Kinnear</t>
  </si>
  <si>
    <t>Kris</t>
  </si>
  <si>
    <t>Capital Delivery Director, Scotland</t>
  </si>
  <si>
    <t>Sumpter</t>
  </si>
  <si>
    <t>Liam</t>
  </si>
  <si>
    <t>Route Director, Scotland</t>
  </si>
  <si>
    <t>Ross</t>
  </si>
  <si>
    <t>Director, Engineering &amp; Asset Management, Scotland</t>
  </si>
  <si>
    <t>Gibbons</t>
  </si>
  <si>
    <t>Chief Security Officer</t>
  </si>
  <si>
    <t>Route Director, West Coast Mainline South</t>
  </si>
  <si>
    <t>Rice</t>
  </si>
  <si>
    <t>Route Director, North East</t>
  </si>
  <si>
    <t>Wetton</t>
  </si>
  <si>
    <t>Denise</t>
  </si>
  <si>
    <t>Route Director, Central</t>
  </si>
  <si>
    <t>Gurtenne</t>
  </si>
  <si>
    <t>Finance Director, Wales &amp; Western</t>
  </si>
  <si>
    <t>Kavanagh</t>
  </si>
  <si>
    <t>Louise</t>
  </si>
  <si>
    <t>Chief of Staff</t>
  </si>
  <si>
    <t>Wales</t>
  </si>
  <si>
    <t>Gordon</t>
  </si>
  <si>
    <t>Finance Director, Scotland</t>
  </si>
  <si>
    <t>Wahidi</t>
  </si>
  <si>
    <t>Rashid</t>
  </si>
  <si>
    <t>Regional Head of Systems Integration Engineering</t>
  </si>
  <si>
    <t>Millington</t>
  </si>
  <si>
    <t>Route Director, Wales</t>
  </si>
  <si>
    <t>Rupert</t>
  </si>
  <si>
    <t>Programme &amp; Business Management Director</t>
  </si>
  <si>
    <t>Route Director, North West</t>
  </si>
  <si>
    <t>Rutter</t>
  </si>
  <si>
    <t>Finance Director, Southern</t>
  </si>
  <si>
    <t>Director, Risk &amp; Internal Audit</t>
  </si>
  <si>
    <t>Edgley</t>
  </si>
  <si>
    <t>Kamini</t>
  </si>
  <si>
    <t>Director, Engineering &amp; Asset Management, NW&amp;C</t>
  </si>
  <si>
    <t>Gallop</t>
  </si>
  <si>
    <t>Route Director, Western</t>
  </si>
  <si>
    <t>Rees</t>
  </si>
  <si>
    <t>Finance Director, Eastern</t>
  </si>
  <si>
    <t>Walsh</t>
  </si>
  <si>
    <t>Gary</t>
  </si>
  <si>
    <t>Route Director, East Midlands</t>
  </si>
  <si>
    <t>Davidson</t>
  </si>
  <si>
    <t>Operations Director</t>
  </si>
  <si>
    <t>Freeman</t>
  </si>
  <si>
    <t>Head of Capacity Planning Development</t>
  </si>
  <si>
    <t>Noble</t>
  </si>
  <si>
    <t>Coucher</t>
  </si>
  <si>
    <t>Programme Director</t>
  </si>
  <si>
    <t>Warner</t>
  </si>
  <si>
    <t>Business &amp; Technical Services Director</t>
  </si>
  <si>
    <t>Crick</t>
  </si>
  <si>
    <t>Cathy</t>
  </si>
  <si>
    <t>General Counsel (Property)</t>
  </si>
  <si>
    <t>Hanstock</t>
  </si>
  <si>
    <t>Adrian</t>
  </si>
  <si>
    <t>Route Director, Kent</t>
  </si>
  <si>
    <t>Fiona</t>
  </si>
  <si>
    <t>Start</t>
  </si>
  <si>
    <t>Andy</t>
  </si>
  <si>
    <t>Defence Equipment &amp; Support</t>
  </si>
  <si>
    <t>Bushell</t>
  </si>
  <si>
    <t>Director General Resources</t>
  </si>
  <si>
    <t>Head of Department</t>
  </si>
  <si>
    <t>Roger David</t>
  </si>
  <si>
    <t>Director Operating Centre</t>
  </si>
  <si>
    <t>Director Chief Information Officer</t>
  </si>
  <si>
    <t>Baguley</t>
  </si>
  <si>
    <t>Director of Programmes</t>
  </si>
  <si>
    <t>Head Centre of Expertise, Finance</t>
  </si>
  <si>
    <t>Cutts</t>
  </si>
  <si>
    <t>Manzoni</t>
  </si>
  <si>
    <t>(Sir) John</t>
  </si>
  <si>
    <t>Chair AWE PLC</t>
  </si>
  <si>
    <t>AWE plc</t>
  </si>
  <si>
    <t>Atkinson</t>
  </si>
  <si>
    <t>Alison</t>
  </si>
  <si>
    <t>Chief Executive &amp; Managing Director</t>
  </si>
  <si>
    <t>Chief Executive and nuclear licence holder</t>
  </si>
  <si>
    <t>Hunter</t>
  </si>
  <si>
    <t>Barry</t>
  </si>
  <si>
    <t>Financial strategy and overall financial / business management</t>
  </si>
  <si>
    <t>Redacted</t>
  </si>
  <si>
    <t>Executive Director</t>
  </si>
  <si>
    <t>Executive leadership of the business</t>
  </si>
  <si>
    <t>Senior Manager Business Services</t>
  </si>
  <si>
    <t>Senior leadership of business services</t>
  </si>
  <si>
    <t>Senior Manager Delivery</t>
  </si>
  <si>
    <t>Senior leadership of Programme and warhead delivery</t>
  </si>
  <si>
    <t>Acland-Hood</t>
  </si>
  <si>
    <t>Department for Education</t>
  </si>
  <si>
    <t>Lapworth</t>
  </si>
  <si>
    <t>Chief Executive/ Responsible for delivering the strategy set by the board, and ensuring that the OfS operates efficiently and effectively. She is an executive member of the OfS board</t>
  </si>
  <si>
    <t>Office for Students</t>
  </si>
  <si>
    <t>Claydon</t>
  </si>
  <si>
    <t>Leading the ECITB, working with governments and engineering companies to develop skills and improve productivity for the energy industry and other process industries.</t>
  </si>
  <si>
    <t>ECITB</t>
  </si>
  <si>
    <t>Newman</t>
  </si>
  <si>
    <t>Lara</t>
  </si>
  <si>
    <t xml:space="preserve">The Chief Executive's principal responsibility is ensuring the successful operation of LocatED. More widely, this leadership role has ultimate responsibility for the development and implementation of the company's strategy, culture, plans and management decisions. </t>
  </si>
  <si>
    <t>LocatED</t>
  </si>
  <si>
    <t>Balcon</t>
  </si>
  <si>
    <t>CITB</t>
  </si>
  <si>
    <t>Sussex</t>
  </si>
  <si>
    <t>Paula</t>
  </si>
  <si>
    <t>Student Loans Company</t>
  </si>
  <si>
    <t>Spielman</t>
  </si>
  <si>
    <t xml:space="preserve">His Majesty's Chief Inspector </t>
  </si>
  <si>
    <t xml:space="preserve">His Majesty's Chief Inspector is responsible for Ofsted's inspection and regulation services, and reports annually on the quality of education, children's services and learning and skills </t>
  </si>
  <si>
    <t>Office for Standards in Education, Children's Services and Skills</t>
  </si>
  <si>
    <t>Saxton</t>
  </si>
  <si>
    <t>Jo</t>
  </si>
  <si>
    <t>Chief Regulator</t>
  </si>
  <si>
    <t>Responsible for delivering on Ofqual's statutory duties - including to maintain standards and promote confidence in qualifications and assessments</t>
  </si>
  <si>
    <t>Office of Qualifications and Examinations Regulation</t>
  </si>
  <si>
    <t xml:space="preserve">Finkelstein </t>
  </si>
  <si>
    <t>Tamara</t>
  </si>
  <si>
    <t>Defra Permanent Secretary</t>
  </si>
  <si>
    <t>Department for Environment, Food and Rural Affairs</t>
  </si>
  <si>
    <t>Bevan</t>
  </si>
  <si>
    <t>Work with the Chair, the Board and Government departments to create a long term vision and strategy for the Agency, and effectively manage the organisation to ensure that the goals and objectives are met within the budgetary and other constraints imposed.</t>
  </si>
  <si>
    <t>Environment Agency</t>
  </si>
  <si>
    <t>Deverell</t>
  </si>
  <si>
    <t>Director, RBG Kew</t>
  </si>
  <si>
    <t>Royal Botanic Gardnes, Kew</t>
  </si>
  <si>
    <t>lain</t>
  </si>
  <si>
    <t>Water Services Regulation Authority</t>
  </si>
  <si>
    <t>Black</t>
  </si>
  <si>
    <t>Rycroft</t>
  </si>
  <si>
    <t>AHDB</t>
  </si>
  <si>
    <t>Lamb</t>
  </si>
  <si>
    <t>Chief Executive of NHS Scotland and Director General Health &amp; Social Care</t>
  </si>
  <si>
    <t>Chief Executive and Director General</t>
  </si>
  <si>
    <t>Scottish Government</t>
  </si>
  <si>
    <t>Marks</t>
  </si>
  <si>
    <t>JP</t>
  </si>
  <si>
    <t>Permanent Under-Secretary and Head of the Diplomatic Service</t>
  </si>
  <si>
    <t>Leading the FCDO and the Diplomatic Service</t>
  </si>
  <si>
    <t>Pierce</t>
  </si>
  <si>
    <t>Karen</t>
  </si>
  <si>
    <t>HM Ambassador to the USA</t>
  </si>
  <si>
    <t>Representing British Interests Overseas</t>
  </si>
  <si>
    <t>Astell</t>
  </si>
  <si>
    <t>CEO of FCDO Services</t>
  </si>
  <si>
    <t xml:space="preserve">Leading FCDO Services which is an Executive Agency and Trading Fund, owned by the Foreign Commonwealth and Development Office. </t>
  </si>
  <si>
    <t>FCDO Services</t>
  </si>
  <si>
    <t>Robson</t>
  </si>
  <si>
    <t>Advisor, English &amp; Exams</t>
  </si>
  <si>
    <t>Responsible for advising a global business unit which is targeted with rapid growth and is the main commercial arm of the British Council - English Language Teaching and UK Qualifications (total turnover approximately £850M).  Has to establish growth and annual plans, shape and develop the brand and is accountable for the performance and development of the English and UK Qualifications resource worldwide.</t>
  </si>
  <si>
    <t>British Council</t>
  </si>
  <si>
    <t>McDonald</t>
  </si>
  <si>
    <t>Thomas Scott</t>
  </si>
  <si>
    <t>Chief Executive Officer (CEO)</t>
  </si>
  <si>
    <t>CEO of British Council an NDPB to promote cultural relationships and the understanding of different cultures between people and peoples of the United Kingdom and other countries; promote a wider knowledge of the United Kingdom, develop a wider knowledge of the English language; encourage cultural, scientific, technological and other educational co-operation between the United Kingdom and other countries, and otherwise promote the advancement of education.</t>
  </si>
  <si>
    <t>Eric</t>
  </si>
  <si>
    <t>Disclosure &amp; Barring Service - providing criminal record checks for employers to make safer recruitment decsions. DBS exists to supporting the Safeguarding of vulnerable children and adults specifically in regulated industry.</t>
  </si>
  <si>
    <t>Disclosure &amp; Barring Service</t>
  </si>
  <si>
    <t>Marsh</t>
  </si>
  <si>
    <t>CEO of College of Policing</t>
  </si>
  <si>
    <t>College of Policing</t>
  </si>
  <si>
    <t>O'Reilly</t>
  </si>
  <si>
    <t>Bernie</t>
  </si>
  <si>
    <t>Deputy CEO</t>
  </si>
  <si>
    <t>Deputy CEO of College of Policing</t>
  </si>
  <si>
    <t>Responsible to the home secretary and parliament for leading the Home Office group so that the Home Office delivers its objectives in the short term and builds capacity to deliver in the future.</t>
  </si>
  <si>
    <t>Hayes</t>
  </si>
  <si>
    <t>Patricia</t>
  </si>
  <si>
    <t>2nd Permanent Secretary</t>
  </si>
  <si>
    <t>Tierney</t>
  </si>
  <si>
    <t>Abigail</t>
  </si>
  <si>
    <t>Director General</t>
  </si>
  <si>
    <t>Responsible for leading the national operation responsible for issuing UK passports and for carrying out the functions of the Registrar General in overseeing the system of civil registration in England and Wales, and for considering applications from visitors to come to or remain in the UK.</t>
  </si>
  <si>
    <t xml:space="preserve">Lockwood </t>
  </si>
  <si>
    <t xml:space="preserve">Michael </t>
  </si>
  <si>
    <t xml:space="preserve">IOPC Director General </t>
  </si>
  <si>
    <t>IOPC</t>
  </si>
  <si>
    <t>Rebecca</t>
  </si>
  <si>
    <t>The Chief Executive Officer (CEO) reports to the Director of Public Prosecutions (DPP) and acts as the second Accounting Officer for the Crown Prosecution Service (CPS). Working in close partnership with the DPP, they are responsible for ensuring the day-to-day delivery of business.  They provide the leadership and direction required to develop the CPS’ vision, the delivery of its’ priorities, objectives and the Service’s strategic and business plans. The CEO leads  and  manages  the  executive  team,  ensuring high standards of resource management - both people and financial - corporate governance and risk management.</t>
  </si>
  <si>
    <t>Crown Prosecution Service</t>
  </si>
  <si>
    <t>Hill</t>
  </si>
  <si>
    <t>Max</t>
  </si>
  <si>
    <t>Director of Public Prosecutions</t>
  </si>
  <si>
    <t>The Director of Public Prosecutions (DPP) is the national head of service for the Crown Prosecution Service for England and Wales, appointed by and responsible to the Attorney General.  It is the function of the DPP with a view to initiation or continuation of criminal proceedings, to consider the facts and information brought to their notice by police or others, and where they think proper, to initiate, undertake and carry on criminal proceedings.</t>
  </si>
  <si>
    <t xml:space="preserve">Barry </t>
  </si>
  <si>
    <t>Chief Crown Prosecutor</t>
  </si>
  <si>
    <t>Deployed to CPS London, a critical CCP post, and has responsibility for maximising efficiencies across the CPS on both casework and support service issues; is directly accountable to the Director of Public Prosecutions for the quality of legal decisions and for the delivery of performance and business outcomes. Within the context of the CPS strategic objectives, they are accountable for setting business direction, priorities and coordinating all the Areas within their remit to ensure that performance against all targets is met. Responsible for the Area Complex Casework Unit and direct management responsibility for the Area Business Manager, Deputy Chief Crown Prosecutors/Deputy Heads of Division within their Area/Division.</t>
  </si>
  <si>
    <t>Copple</t>
  </si>
  <si>
    <t>Phillip</t>
  </si>
  <si>
    <t>Ministry of Justice</t>
  </si>
  <si>
    <t>His Majesty's Prison &amp; Probation Service</t>
  </si>
  <si>
    <t xml:space="preserve">Chief Executive Officer of HMPPS </t>
  </si>
  <si>
    <t>CEO of HMPPS</t>
  </si>
  <si>
    <t>Farrar</t>
  </si>
  <si>
    <t>Josephine</t>
  </si>
  <si>
    <t>Second Permanent Secretary of the MoJ</t>
  </si>
  <si>
    <t>Alessandri</t>
  </si>
  <si>
    <t>Madeleine</t>
  </si>
  <si>
    <t>Permanent Secretary of Northern Ireland Office</t>
  </si>
  <si>
    <t>Northern Ireland Office</t>
  </si>
  <si>
    <t>Tiotto</t>
  </si>
  <si>
    <t>Jacky</t>
  </si>
  <si>
    <t>CAFCASS looks after the interests of children involved in family court proceedings.  They work with children and their families, and advise the courts on the best interests of individual children.</t>
  </si>
  <si>
    <t>CAFCASS</t>
  </si>
  <si>
    <t>Romeo</t>
  </si>
  <si>
    <t>Antonia</t>
  </si>
  <si>
    <t>Permanent Secretary of the MoJ</t>
  </si>
  <si>
    <t>Phillips</t>
  </si>
  <si>
    <t>Helen</t>
  </si>
  <si>
    <t>Chair of the Legal Services Board</t>
  </si>
  <si>
    <t>The Legal Services Board are the oversight regulator of legal services in England and Wales.</t>
  </si>
  <si>
    <t>Legal Services Board</t>
  </si>
  <si>
    <t>Thornden-Edwards</t>
  </si>
  <si>
    <t>Kim</t>
  </si>
  <si>
    <t>NPS. Probation Deputy Director</t>
  </si>
  <si>
    <t>NMS Probation workforce programme</t>
  </si>
  <si>
    <t>National Probation Service CRC</t>
  </si>
  <si>
    <t>Downman</t>
  </si>
  <si>
    <t>NMS NPS South Central UM CRC</t>
  </si>
  <si>
    <t>Richards</t>
  </si>
  <si>
    <t>Nathan</t>
  </si>
  <si>
    <t>Probation reform programme.</t>
  </si>
  <si>
    <t>Jessup</t>
  </si>
  <si>
    <t>NMS Probation Programme: Interim Head of Transition</t>
  </si>
  <si>
    <t>Mills</t>
  </si>
  <si>
    <t xml:space="preserve">Director for Property Asset Management </t>
  </si>
  <si>
    <t>Kakkar</t>
  </si>
  <si>
    <t>Lord Ajay</t>
  </si>
  <si>
    <t>Chair of the Judicial Appointments Commission (JAC)</t>
  </si>
  <si>
    <t>The Judicial Appointments Commission selects candidates for judicial office in England and Wales.</t>
  </si>
  <si>
    <t>Judicial Appointments Commission</t>
  </si>
  <si>
    <t>Cowley</t>
  </si>
  <si>
    <t>Lesley</t>
  </si>
  <si>
    <t>Non-executive director - Companies House</t>
  </si>
  <si>
    <t>Companies House  steering board chairperson.</t>
  </si>
  <si>
    <t>Department for Business, Energy and Industrial Strategy</t>
  </si>
  <si>
    <t>Companies House</t>
  </si>
  <si>
    <t>Samuel</t>
  </si>
  <si>
    <t>Marcus Andrew</t>
  </si>
  <si>
    <t>North Sea Transition Authority</t>
  </si>
  <si>
    <t>Operations</t>
  </si>
  <si>
    <t>Granger</t>
  </si>
  <si>
    <t>Nicola</t>
  </si>
  <si>
    <t>Chief Financial Officer and Director of Corporate</t>
  </si>
  <si>
    <t>Corporate</t>
  </si>
  <si>
    <t>Eggar</t>
  </si>
  <si>
    <t xml:space="preserve">Chair </t>
  </si>
  <si>
    <t>Provides overall strategic leadership, direction and management to Diamond. The Chief Executive Officer works with the company’s Chairman and is responsible for reporting to the Diamond Board on the operations and financial status of the company.</t>
  </si>
  <si>
    <t>Diamond Light Source Ltd</t>
  </si>
  <si>
    <t>Mukerjee</t>
  </si>
  <si>
    <t>Indro</t>
  </si>
  <si>
    <t>IUK Chief Executive Officer</t>
  </si>
  <si>
    <t>Innovate Chief Executive Officer</t>
  </si>
  <si>
    <t>UKRI</t>
  </si>
  <si>
    <t>Lowe</t>
  </si>
  <si>
    <t>Jan</t>
  </si>
  <si>
    <t>MRC Science Director</t>
  </si>
  <si>
    <t>MRC Scientist</t>
  </si>
  <si>
    <t>Peters</t>
  </si>
  <si>
    <t>UKRI Chief Finance Officer</t>
  </si>
  <si>
    <t>Leyser Day</t>
  </si>
  <si>
    <t>Ottoline</t>
  </si>
  <si>
    <t>UKRI Chief Executive Officer</t>
  </si>
  <si>
    <t>Thomson</t>
  </si>
  <si>
    <t>STFC Executive Chair</t>
  </si>
  <si>
    <t>Shepperd</t>
  </si>
  <si>
    <t>Annie</t>
  </si>
  <si>
    <t>Chief Executove of Salix Finance Ltd</t>
  </si>
  <si>
    <t>Salix Finance Ltd</t>
  </si>
  <si>
    <t>Teresa</t>
  </si>
  <si>
    <t>Chair and NED of Salix Finance Ltd</t>
  </si>
  <si>
    <t xml:space="preserve">Robson </t>
  </si>
  <si>
    <t>Hugo</t>
  </si>
  <si>
    <t xml:space="preserve">Chief Negotiator </t>
  </si>
  <si>
    <t>Chief Negotiator</t>
  </si>
  <si>
    <t>Whittington</t>
  </si>
  <si>
    <t>Joanna</t>
  </si>
  <si>
    <t>Director General Energy and Security</t>
  </si>
  <si>
    <t xml:space="preserve">Director General </t>
  </si>
  <si>
    <t>Munby</t>
  </si>
  <si>
    <t>Permanent Secretary BEIS</t>
  </si>
  <si>
    <t>Guinness</t>
  </si>
  <si>
    <t>Freya</t>
  </si>
  <si>
    <t>Corporate Services COO</t>
  </si>
  <si>
    <t>Gur</t>
  </si>
  <si>
    <t>Ilan</t>
  </si>
  <si>
    <t xml:space="preserve">Advanced Research and Invention Agency </t>
  </si>
  <si>
    <t>Vallance</t>
  </si>
  <si>
    <t>Chapman</t>
  </si>
  <si>
    <t>CEO Management</t>
  </si>
  <si>
    <t>UK Atomic Energy Authority</t>
  </si>
  <si>
    <t>Chesterman</t>
  </si>
  <si>
    <t>Responsible for the business performance and outputs of the organisation; Responsible for the operational performance of the CNC in all circumstances; Responsible for the development of the 3 year strategic plan for the CNC working with CNPA and Executive; Build close and effective working relationships with the CNPA Chair; Build partnerships with stakeholders including BEIS, ONR and continue to develop strategic partnerships with owners of civil nuclear sites, Home office and Scottish Police Forces; Provision of advice and an efficient and effective service to CNP/CNC in accordance with the Energy Act 2004, relevant regulations and other general conditions of service adopted by the CNPA. Accounting Officer.</t>
  </si>
  <si>
    <t>Civil Nuclear Police Authority</t>
  </si>
  <si>
    <t>Rouse</t>
  </si>
  <si>
    <t>Managing Director</t>
  </si>
  <si>
    <t>Executive</t>
  </si>
  <si>
    <t>Dounreay Site Restoration Limited (Subsidiary of the NDA)</t>
  </si>
  <si>
    <t xml:space="preserve">Lindsay </t>
  </si>
  <si>
    <t>Parry Jones</t>
  </si>
  <si>
    <t>Gwen</t>
  </si>
  <si>
    <t>Magnox Limited (Subsidiary of the NDA)</t>
  </si>
  <si>
    <t>Frisby</t>
  </si>
  <si>
    <t>Winkle</t>
  </si>
  <si>
    <t>COO</t>
  </si>
  <si>
    <t>Vickerman</t>
  </si>
  <si>
    <t>Chief People Officer</t>
  </si>
  <si>
    <t>Branton</t>
  </si>
  <si>
    <t>Regeneration &amp; Chief Information Officer</t>
  </si>
  <si>
    <t>Senior Leader - Information Security</t>
  </si>
  <si>
    <t>Cooper</t>
  </si>
  <si>
    <t>Houlton</t>
  </si>
  <si>
    <t>Future Missions Director</t>
  </si>
  <si>
    <t>Haynes</t>
  </si>
  <si>
    <t>Independent Chair</t>
  </si>
  <si>
    <t xml:space="preserve">Chair of the Board of Directors </t>
  </si>
  <si>
    <t>Jee</t>
  </si>
  <si>
    <t xml:space="preserve">Susan </t>
  </si>
  <si>
    <t>Non-Executive Director and Chair of the Pension Trust</t>
  </si>
  <si>
    <t>Member of the Board</t>
  </si>
  <si>
    <t>Webster</t>
  </si>
  <si>
    <t>Haben</t>
  </si>
  <si>
    <t>Fletcher</t>
  </si>
  <si>
    <t>Rob</t>
  </si>
  <si>
    <t>Simper</t>
  </si>
  <si>
    <t>Chief Nuclear Scientist</t>
  </si>
  <si>
    <t>Nuclear Decommissioning Authority</t>
  </si>
  <si>
    <t>Ferguson-Gould</t>
  </si>
  <si>
    <t>Group Chief Commercial and Business Development Officer</t>
  </si>
  <si>
    <t>Group Chief Communication and Stakeholder Relations Officer</t>
  </si>
  <si>
    <t>Zuydam</t>
  </si>
  <si>
    <t>Mel</t>
  </si>
  <si>
    <t>Group Risk and Assurance Director</t>
  </si>
  <si>
    <t>Senior Leader - Risk and Assurance</t>
  </si>
  <si>
    <t>Susannah</t>
  </si>
  <si>
    <t>Group Financial Controller</t>
  </si>
  <si>
    <t>Senior Leader - Finance</t>
  </si>
  <si>
    <t>Harnby</t>
  </si>
  <si>
    <t>Group General Counsel and Company Secretary</t>
  </si>
  <si>
    <t>Vineall</t>
  </si>
  <si>
    <t>Group Chief People Officer</t>
  </si>
  <si>
    <t>Barber</t>
  </si>
  <si>
    <t>HR and Group Organisation Development Director</t>
  </si>
  <si>
    <t>Senior Leader - HR</t>
  </si>
  <si>
    <t>Cumming</t>
  </si>
  <si>
    <t>Group Chief Operations and Performance Improvement Officer</t>
  </si>
  <si>
    <t>Director of Performance Improvement Waste/Magnox/Dounreay/NTS</t>
  </si>
  <si>
    <t>Senior Leader - Performance Improvement (Magnox, Waste, DSRL, NTS)</t>
  </si>
  <si>
    <t>Redpath</t>
  </si>
  <si>
    <t>Director of Performance Improvement Sellafield</t>
  </si>
  <si>
    <t>Senior Leader - Performance Improvement (Sellafield)</t>
  </si>
  <si>
    <t>Chappell</t>
  </si>
  <si>
    <t>Director of Asset Management + Continuous Improvement</t>
  </si>
  <si>
    <t>Senior Leader - Asset Management and Continuous Improvement</t>
  </si>
  <si>
    <t>Rainford</t>
  </si>
  <si>
    <t>Frank</t>
  </si>
  <si>
    <t>Group Chief of Staff and Security Officer</t>
  </si>
  <si>
    <t>Seglias</t>
  </si>
  <si>
    <t>Ioannis</t>
  </si>
  <si>
    <t>Group Development Director</t>
  </si>
  <si>
    <t>Senior Leader - Group Development</t>
  </si>
  <si>
    <t>Nixon</t>
  </si>
  <si>
    <t>Group Chief Nuclear Strategy Officer</t>
  </si>
  <si>
    <t>Peattie</t>
  </si>
  <si>
    <t>Rivaz</t>
  </si>
  <si>
    <t>Ros</t>
  </si>
  <si>
    <t>Beckers</t>
  </si>
  <si>
    <t>Volker</t>
  </si>
  <si>
    <t>Dickey</t>
  </si>
  <si>
    <t xml:space="preserve">Evelyn </t>
  </si>
  <si>
    <t>Ashdown</t>
  </si>
  <si>
    <t>Janet</t>
  </si>
  <si>
    <t>Livens</t>
  </si>
  <si>
    <t>Train</t>
  </si>
  <si>
    <t>Kybird</t>
  </si>
  <si>
    <t>Seth</t>
  </si>
  <si>
    <t>INS, Chief Executive Officer</t>
  </si>
  <si>
    <t>Nuclear Transport Solutions (Subsidiary of the NDA)</t>
  </si>
  <si>
    <t>Connelly</t>
  </si>
  <si>
    <t xml:space="preserve">DRS, Transport Rail Director - Deputy CEO </t>
  </si>
  <si>
    <t>Goldwag</t>
  </si>
  <si>
    <t>Wanda</t>
  </si>
  <si>
    <t>Spencer</t>
  </si>
  <si>
    <t>Geoff</t>
  </si>
  <si>
    <t>Parr</t>
  </si>
  <si>
    <t>Corhynn</t>
  </si>
  <si>
    <t>Nuclear Waste Services (Subsidiary of the NDA)</t>
  </si>
  <si>
    <t>Wheeler</t>
  </si>
  <si>
    <t>Deputy Chief Executive Officer/ Major Capital Programmes Director</t>
  </si>
  <si>
    <t>VanDuijil</t>
  </si>
  <si>
    <t>GDF Programme Director</t>
  </si>
  <si>
    <t>Kelbie</t>
  </si>
  <si>
    <t>Adrienne</t>
  </si>
  <si>
    <t>Chown</t>
  </si>
  <si>
    <t>Sellafield Limited (Subsidiary of the NDA)</t>
  </si>
  <si>
    <t>Sharples</t>
  </si>
  <si>
    <t>Projects Director</t>
  </si>
  <si>
    <t>Seddon</t>
  </si>
  <si>
    <t>Jon</t>
  </si>
  <si>
    <t>Neate</t>
  </si>
  <si>
    <t>Environment, Safety and Security Director</t>
  </si>
  <si>
    <t>Prest</t>
  </si>
  <si>
    <t>Gaenor</t>
  </si>
  <si>
    <t>Seeney</t>
  </si>
  <si>
    <t>Head of Delivery Lifecycles</t>
  </si>
  <si>
    <t>Senior Leader - Delivery</t>
  </si>
  <si>
    <t>Lussem</t>
  </si>
  <si>
    <t>Supply Chain Director</t>
  </si>
  <si>
    <t>Hutton</t>
  </si>
  <si>
    <t>Euan</t>
  </si>
  <si>
    <t>Interim Site Director</t>
  </si>
  <si>
    <t>Senior Leader - Operations</t>
  </si>
  <si>
    <t>McCracken</t>
  </si>
  <si>
    <t>Head of Value Stream, Remediation</t>
  </si>
  <si>
    <t>Senior Leader - Value Streams</t>
  </si>
  <si>
    <t>Armett</t>
  </si>
  <si>
    <t>Alyson</t>
  </si>
  <si>
    <t>Strategy and Planning Director</t>
  </si>
  <si>
    <t>Senior Leader - Strategy</t>
  </si>
  <si>
    <t>Roddy</t>
  </si>
  <si>
    <t>Head of Value Stream, Retrievals</t>
  </si>
  <si>
    <t>Underwood</t>
  </si>
  <si>
    <t>Warren</t>
  </si>
  <si>
    <t>Leafe</t>
  </si>
  <si>
    <t>Wood</t>
  </si>
  <si>
    <t>Senior Leader - Legal</t>
  </si>
  <si>
    <t>MacGregor</t>
  </si>
  <si>
    <t>Head of Occupational Health</t>
  </si>
  <si>
    <t>Senior Leader - Occupational Health</t>
  </si>
  <si>
    <t>Halliwell</t>
  </si>
  <si>
    <t>Head of Programme Delivery, MSSS</t>
  </si>
  <si>
    <t>Senior Leader - Programme Delivery</t>
  </si>
  <si>
    <t>Head of Value Stream, SFM</t>
  </si>
  <si>
    <t>Meggs</t>
  </si>
  <si>
    <t>Tony</t>
  </si>
  <si>
    <t>Baxter</t>
  </si>
  <si>
    <t xml:space="preserve">John </t>
  </si>
  <si>
    <t>Simcock</t>
  </si>
  <si>
    <t xml:space="preserve">Jonathan </t>
  </si>
  <si>
    <t>Choho</t>
  </si>
  <si>
    <t>Dr Anne-Marie</t>
  </si>
  <si>
    <t>Hall</t>
  </si>
  <si>
    <t>Claire</t>
  </si>
  <si>
    <t>McLean</t>
  </si>
  <si>
    <t>Rachel</t>
  </si>
  <si>
    <t>Grenfell</t>
  </si>
  <si>
    <t>Executive Director, Enforcement</t>
  </si>
  <si>
    <t>The Executive Director in Enforcement at the Competition and Markets Authority (CMA) is responsible for leading the CMA’s enforcement work on Competition Act cases, criminal cartels and consumer enforcement; providing value to markets and consumers; and providing strong, visible and dynamic leadership of the CMA’s enforcement work.</t>
  </si>
  <si>
    <t>Competition and Markets Authority</t>
  </si>
  <si>
    <t>Chief Economic Adviser</t>
  </si>
  <si>
    <t>The Chief Economic Adviser at the Competition and Markets Authority (CMA) is responsible for: providing strong, visible leadership across the organisation, ensuring that the CMA’s economists provide high-quality advice, giving guidance on the most complex cases and developing centres of expertise</t>
  </si>
  <si>
    <t>Stewart</t>
  </si>
  <si>
    <t>Executive Director, Markets and Mergers</t>
  </si>
  <si>
    <t>The Executive Director in Markets &amp; Mergers at the Competition and Markets Authority (CMA) is responsible for leading the strategy and delivery of the CMA's work in these areas as well as regulatory appeals.</t>
  </si>
  <si>
    <t>Cardell</t>
  </si>
  <si>
    <t>Interim Chief Executive</t>
  </si>
  <si>
    <t xml:space="preserve">Responsible for the establishing and managing of the CMA alongside the Chairman and Executive team. </t>
  </si>
  <si>
    <t>Pocklington</t>
  </si>
  <si>
    <t>Permanent Secretary for DLUHC</t>
  </si>
  <si>
    <t>Executive Team Office</t>
  </si>
  <si>
    <t>Department for Levelling Up, Housing and Communities</t>
  </si>
  <si>
    <t>DLUHC</t>
  </si>
  <si>
    <t>Thurstan</t>
  </si>
  <si>
    <t>Chief Finance Officer and Head of Corporate Services</t>
  </si>
  <si>
    <t>CFO and Corporate Group</t>
  </si>
  <si>
    <t>Alistair</t>
  </si>
  <si>
    <t>Watters</t>
  </si>
  <si>
    <t>Director of Grenfel Tower Programme</t>
  </si>
  <si>
    <t>Project Delivery</t>
  </si>
  <si>
    <t>Gray</t>
  </si>
  <si>
    <t>Sue</t>
  </si>
  <si>
    <t>Union and Constitution</t>
  </si>
  <si>
    <t>Denton</t>
  </si>
  <si>
    <t>Homes England</t>
  </si>
  <si>
    <t>Tucker</t>
  </si>
  <si>
    <t>Chief Digital and Data Officer</t>
  </si>
  <si>
    <t>Digital/Data Directorate</t>
  </si>
  <si>
    <t>Kirsty</t>
  </si>
  <si>
    <t>COO Directorate</t>
  </si>
  <si>
    <t>McMullan</t>
  </si>
  <si>
    <t>Lynda</t>
  </si>
  <si>
    <t>Executive Director and CFO</t>
  </si>
  <si>
    <t>Corporate Services and Finance</t>
  </si>
  <si>
    <t>Swales</t>
  </si>
  <si>
    <t>Harry</t>
  </si>
  <si>
    <t>Chief Investment Officer</t>
  </si>
  <si>
    <t>Investments Directorate</t>
  </si>
  <si>
    <t>German</t>
  </si>
  <si>
    <t>Will</t>
  </si>
  <si>
    <t>Director - Help to Buy</t>
  </si>
  <si>
    <t>Help to Buy Scheme</t>
  </si>
  <si>
    <t>Cummins</t>
  </si>
  <si>
    <t>Chief Development Officer</t>
  </si>
  <si>
    <t>Development Directorate</t>
  </si>
  <si>
    <t>Regulator of Social Housing</t>
  </si>
  <si>
    <t>McGibbon</t>
  </si>
  <si>
    <t>Susanna</t>
  </si>
  <si>
    <t>HM Procurator General, Treasury Solicitor and Head of the Government Legal Service</t>
  </si>
  <si>
    <t>Government Legal Department</t>
  </si>
  <si>
    <t>De Mounteney</t>
  </si>
  <si>
    <t>Head of Unit - Litigation with
Justice and Security</t>
  </si>
  <si>
    <t>Director General - Litigation with Justice and Security</t>
  </si>
  <si>
    <t>Humpherson</t>
  </si>
  <si>
    <t>Ed</t>
  </si>
  <si>
    <t>Director General for Regulation</t>
  </si>
  <si>
    <t>Office for Statistics Regulation</t>
  </si>
  <si>
    <t>UK Statistics Authority</t>
  </si>
  <si>
    <t>OSR</t>
  </si>
  <si>
    <t>Diamond</t>
  </si>
  <si>
    <t>National Statistician, Chief Executive of the UK Statistics Authority, and Head of the Government Statistical Service</t>
  </si>
  <si>
    <t>Producing Statistics for the Public Good</t>
  </si>
  <si>
    <t>ONS</t>
  </si>
  <si>
    <t>Samantha</t>
  </si>
  <si>
    <t>sam.beckett@hmtreasury.gov.uk</t>
  </si>
  <si>
    <t>Second Permanent Secretary and Deputy Chief Executive</t>
  </si>
  <si>
    <t>Hughes </t>
  </si>
  <si>
    <t>Office Holder</t>
  </si>
  <si>
    <t>Chairman – Office for Budget Responsibility</t>
  </si>
  <si>
    <t> Responsible for ensuring OBR carries out all duties as set out in the Act</t>
  </si>
  <si>
    <t>His Majesty’s Treasury</t>
  </si>
  <si>
    <t> Office For Budget Responsibility</t>
  </si>
  <si>
    <t>Little</t>
  </si>
  <si>
    <t>Catherine</t>
  </si>
  <si>
    <t>SCS 3</t>
  </si>
  <si>
    <t>Acting Permanent Secretary</t>
  </si>
  <si>
    <t>UKGI Director</t>
  </si>
  <si>
    <t>Corporate Finance</t>
  </si>
  <si>
    <t xml:space="preserve">UK Government Investments Ltd </t>
  </si>
  <si>
    <t xml:space="preserve">Charles </t>
  </si>
  <si>
    <t xml:space="preserve">Other SCS 3 Equivalent </t>
  </si>
  <si>
    <t xml:space="preserve">Chief Executive </t>
  </si>
  <si>
    <t xml:space="preserve">CEO of UKGI </t>
  </si>
  <si>
    <t>McTernan</t>
  </si>
  <si>
    <t xml:space="preserve">Madelaine </t>
  </si>
  <si>
    <t xml:space="preserve">Other SCS 2 Equivalent </t>
  </si>
  <si>
    <t>Tom</t>
  </si>
  <si>
    <t xml:space="preserve">Director </t>
  </si>
  <si>
    <t xml:space="preserve">Morley </t>
  </si>
  <si>
    <t xml:space="preserve">Candida </t>
  </si>
  <si>
    <t>Gratton</t>
  </si>
  <si>
    <t>Whelan</t>
  </si>
  <si>
    <t>Deputy Chief Executive</t>
  </si>
  <si>
    <t>To lead and manage the DMO's policy, dealing, lending and fund management functions and when required to deputise for the Chief Executive</t>
  </si>
  <si>
    <t>UK Debt Management Office</t>
  </si>
  <si>
    <t>Juffs</t>
  </si>
  <si>
    <t>Jim</t>
  </si>
  <si>
    <t>To lead and manage all functions that support the DMO's objectives and operations</t>
  </si>
  <si>
    <t>Pulay</t>
  </si>
  <si>
    <t>Co - Head of Policy and Markets</t>
  </si>
  <si>
    <t>Stheeman</t>
  </si>
  <si>
    <t>To lead and manage the UK Debt Management Office in the delivery of its key objectives</t>
  </si>
  <si>
    <t>Duffell</t>
  </si>
  <si>
    <t>DMO4</t>
  </si>
  <si>
    <t>Head of Dealing Desk</t>
  </si>
  <si>
    <t>Vieten</t>
  </si>
  <si>
    <t>Holger</t>
  </si>
  <si>
    <t>Flint</t>
  </si>
  <si>
    <t>Director General &amp; Chief Economist</t>
  </si>
  <si>
    <t>UKIB</t>
  </si>
  <si>
    <t>UK Investment Bank</t>
  </si>
  <si>
    <t>Clarke</t>
  </si>
  <si>
    <t>Government Actuary</t>
  </si>
  <si>
    <t>Head of Government Actuary Department</t>
  </si>
  <si>
    <t>Government Actuary Department</t>
  </si>
  <si>
    <t>Vivian</t>
  </si>
  <si>
    <t>Executive Mentor</t>
  </si>
  <si>
    <t>Government Actuary's Department</t>
  </si>
  <si>
    <t>Gurden</t>
  </si>
  <si>
    <t>Deputy Government Actuary</t>
  </si>
  <si>
    <t>Humphrey</t>
  </si>
  <si>
    <t>Actuarial Director (Quality, Compliance &amp; Risk)</t>
  </si>
  <si>
    <t>Technical + Professional, Insurance + Investment</t>
  </si>
  <si>
    <t>Healey</t>
  </si>
  <si>
    <t>Department for Digital, Culture, Media and Sport</t>
  </si>
  <si>
    <t>Hollingsworth</t>
  </si>
  <si>
    <t>Sport England</t>
  </si>
  <si>
    <t>Chief Executive Office</t>
  </si>
  <si>
    <t>Birmingham Organising Committee for 2022 Commonwealth Games Ltd</t>
  </si>
  <si>
    <t>Chief Creative Officer</t>
  </si>
  <si>
    <t>Ceremonies, Culture and Queen's Baton Relay</t>
  </si>
  <si>
    <t>Grady</t>
  </si>
  <si>
    <t>Finance and Commercial</t>
  </si>
  <si>
    <t>Balshaw</t>
  </si>
  <si>
    <t>Maria Balshaw is Director of Tate, a role she has held since June 2017. She has overall responsibility for Tate’s strategic direction and day-to-day operations. She has worked to reframe the context and perspective of this long-established institution to engage with sensitive times, furthering the mission of inclusiveness and equality to connect with a wider audience. As Director, Maria is also the Accounting Officer appointed by the Department for Digital, Culture, Media and Sport (DCMS).</t>
  </si>
  <si>
    <t>Tate Gallery</t>
  </si>
  <si>
    <t>Keating</t>
  </si>
  <si>
    <t>Roly</t>
  </si>
  <si>
    <t>The British Library</t>
  </si>
  <si>
    <t>Blatchford</t>
  </si>
  <si>
    <t>Director &amp; Chief Executive of SMG</t>
  </si>
  <si>
    <t>Director of SMG</t>
  </si>
  <si>
    <t>Science Museum Group</t>
  </si>
  <si>
    <t>Lees</t>
  </si>
  <si>
    <t>Diane</t>
  </si>
  <si>
    <t>Executive Director/Accounting Officer/CEO</t>
  </si>
  <si>
    <t>Imperial War Museum</t>
  </si>
  <si>
    <t>Fischer</t>
  </si>
  <si>
    <t>Hartwig</t>
  </si>
  <si>
    <t>Accounting Officer - To provide overall leadership and direction for the British Museum and to ensure it preserves and manages its collections, continues to develop its scholarly reputation, facilitates access for a wide range of audiences and works to the highest levels of governance and efficiency.</t>
  </si>
  <si>
    <t>The British Museum</t>
  </si>
  <si>
    <t>Hunt</t>
  </si>
  <si>
    <t>Tristram</t>
  </si>
  <si>
    <t>Director of the Victoria &amp; Albert Museum</t>
  </si>
  <si>
    <t>Directorate</t>
  </si>
  <si>
    <t>Victoria &amp; Albert Museum</t>
  </si>
  <si>
    <t>Delmonte</t>
  </si>
  <si>
    <t>Horserace Betting Levy Board</t>
  </si>
  <si>
    <t>Pemberton</t>
  </si>
  <si>
    <t>John Craig</t>
  </si>
  <si>
    <t>Rhodes</t>
  </si>
  <si>
    <t>Gambling Commission</t>
  </si>
  <si>
    <t>Gurr</t>
  </si>
  <si>
    <t>Doug</t>
  </si>
  <si>
    <t>Museum Director</t>
  </si>
  <si>
    <t>The Museum Director is the Chief Executive and Accounting Officer of the Museum</t>
  </si>
  <si>
    <t>The Natural History Museum</t>
  </si>
  <si>
    <t>Information Commissioner</t>
  </si>
  <si>
    <t>Information Commissioner's Office (ICO)</t>
  </si>
  <si>
    <t>Finaldi</t>
  </si>
  <si>
    <t>Gabriele</t>
  </si>
  <si>
    <t>Director, National Gallery</t>
  </si>
  <si>
    <t>The National Gallery</t>
  </si>
  <si>
    <t>Gifford</t>
  </si>
  <si>
    <t>Leader of NCS Trust</t>
  </si>
  <si>
    <t>National Citizen Service Trust</t>
  </si>
  <si>
    <t>Whitelaw</t>
  </si>
  <si>
    <t>Senior Commercial Specialist (SCS2 equivalent)</t>
  </si>
  <si>
    <t>Government Property Agency - Client Solutions Director</t>
  </si>
  <si>
    <t>Cabinet Office</t>
  </si>
  <si>
    <t>Chisholm</t>
  </si>
  <si>
    <t>Alex</t>
  </si>
  <si>
    <t>Chief Operating Officer for the Civil Service and Permanent Secretary for the Cabinet Office</t>
  </si>
  <si>
    <t>Dual role: Chief Operating Officer for the Civil Service with responsibility for working with Permanent Secretaries across the Civil Service to manage and reform the Service alongside the role of Permanent Secretary for the Cabinet Office with responsibility for the leadership and governance of the Cabinet Office.</t>
  </si>
  <si>
    <t>Parliamentary Counsel</t>
  </si>
  <si>
    <t>Parliamentary Counsel draft Bills (and amendments of Bills) for Government in response to instructions, and provide procedural and other handling advice to legislating departments in connection with those Bills. They are also responsible for the vetting of draft statutory instruments that amend primary legislation, and for the drafting of statutory instruments in cases where the specialist expertise of Parliamentary Counsel is required. Other responsibilities include the training and development of more junior counsel and participation in the development of improved drafting practices.</t>
  </si>
  <si>
    <t>Forzani</t>
  </si>
  <si>
    <t>MoD Commercial Directorate</t>
  </si>
  <si>
    <t>Hobart</t>
  </si>
  <si>
    <t>MHCLG Commercial Directorate</t>
  </si>
  <si>
    <t>McMinn</t>
  </si>
  <si>
    <t>Category Management Director</t>
  </si>
  <si>
    <t>Category Management Director, DEFRA</t>
  </si>
  <si>
    <t>Sheers</t>
  </si>
  <si>
    <t>Head of Financial Accounting and Reporting</t>
  </si>
  <si>
    <t>Financial Accounting and Reporting</t>
  </si>
  <si>
    <t>Quinn</t>
  </si>
  <si>
    <t>Hooper</t>
  </si>
  <si>
    <t>Chief Commercial Officer </t>
  </si>
  <si>
    <t>Commercial &amp; Contract Management Directorate (CCMD) - MOJ</t>
  </si>
  <si>
    <t>Cat</t>
  </si>
  <si>
    <t>Civil Service Chief Operating Offer, Cabinet Office Permanent Secretary</t>
  </si>
  <si>
    <t>Benham</t>
  </si>
  <si>
    <t>Commercial Director, Cabinet Office DfE</t>
  </si>
  <si>
    <t>Gibbs</t>
  </si>
  <si>
    <t>GCO - CO Markets Sourcing &amp; Suppliers</t>
  </si>
  <si>
    <t>Wormald</t>
  </si>
  <si>
    <t>Cabinet Secretary</t>
  </si>
  <si>
    <t>Kidson</t>
  </si>
  <si>
    <t>HMRC chief commercial officer</t>
  </si>
  <si>
    <t>Commercial Continuous Improvement Team (CCIT)</t>
  </si>
  <si>
    <t>Howie</t>
  </si>
  <si>
    <t>NHSX</t>
  </si>
  <si>
    <t>Poole</t>
  </si>
  <si>
    <t>MOD Commercial Directorate</t>
  </si>
  <si>
    <t>Sprackling</t>
  </si>
  <si>
    <t>Parliamentary Counsel / Team Leader</t>
  </si>
  <si>
    <t>Parliamentary Counsel lead drafting teams which draft Bills (and amendments of Bills) for Government in response to instructions, and which provide procedural and other handling advice to legislating departments in connection with those Bills. They are also responsible for the vetting of draft statutory instruments that amend primary legislation, and for the drafting of statutory instruments in cases where the specialist expertise of Parliamentary Counsel is required. Other responsibilities include the training and development of more junior counsel and participation in the development of improved drafting practices.</t>
  </si>
  <si>
    <t>Ben-Yehuda</t>
  </si>
  <si>
    <t>Einav</t>
  </si>
  <si>
    <t>The Government Commercial Function (GCF) is a cross-government network of around 4,000 civil servants procuring (or supporting the procurement of) goods and services for the government. It also consists of commercial experts who support departments in managing key commercial contracts and planning for future commercial needs.</t>
  </si>
  <si>
    <t>Gardiner</t>
  </si>
  <si>
    <t>Permanent Secretary, First Parliamentary Counsel</t>
  </si>
  <si>
    <t>Emma-Jane</t>
  </si>
  <si>
    <t>Executive Commercial Director, New Hospital Programme</t>
  </si>
  <si>
    <t>NHS E&amp;I Commercial Directorate</t>
  </si>
  <si>
    <t>Churchill</t>
  </si>
  <si>
    <t>Director General, Economic and Domestic Affairs Secretariat</t>
  </si>
  <si>
    <t>Economic and Domestic Affairs Secretariat</t>
  </si>
  <si>
    <t>Ryland</t>
  </si>
  <si>
    <t>Director General - Government Chief People Officer</t>
  </si>
  <si>
    <t>The Government Chief People Officer leads an accountable Civil Service human resources function that delivers flexible HR expertise at the centre of government and in departments through the Workforce Plan. The Government Chief People Officer provides professional leadership on a range of people issues, including talent, capability, inclusion, capacity, pay and reward, performance, employee relations, leadership and learning, culture and behaviours.</t>
  </si>
  <si>
    <t>Rhys Williams</t>
  </si>
  <si>
    <t>Government Chief Commercial Officer</t>
  </si>
  <si>
    <t>As Head of the commercial profession reporting to the Chief Executive of the Civil Service, the Government Chief Commercial Officer shapes and leads the programme of commercial reform across government.</t>
  </si>
  <si>
    <t>Nugent</t>
  </si>
  <si>
    <t>Senior Commercial Specialist (SCS2 equivalent), FCDO</t>
  </si>
  <si>
    <t>Bates</t>
  </si>
  <si>
    <t>Cole</t>
  </si>
  <si>
    <t>Jack</t>
  </si>
  <si>
    <t>Director, Economic and Domestic Affairs Secretariat</t>
  </si>
  <si>
    <t>Ward</t>
  </si>
  <si>
    <t>Jacqui</t>
  </si>
  <si>
    <t>Director, Investment Security Unit</t>
  </si>
  <si>
    <t>Reeves</t>
  </si>
  <si>
    <t>Ballingall</t>
  </si>
  <si>
    <t>Commercial Specialist, Infrastructure Projects Authority</t>
  </si>
  <si>
    <t>Provides expertise in infrastructure and the financing, delivery and assurance of major projects, to support more effective management and delivery across government</t>
  </si>
  <si>
    <t>Rawlings</t>
  </si>
  <si>
    <t>MOJ Commercial Directorate</t>
  </si>
  <si>
    <t xml:space="preserve">MOD Commercial Directorate </t>
  </si>
  <si>
    <t>Wyatt</t>
  </si>
  <si>
    <t>Jay</t>
  </si>
  <si>
    <t>Senior Financial Business Partner</t>
  </si>
  <si>
    <t>Doshi</t>
  </si>
  <si>
    <t>Jayesh</t>
  </si>
  <si>
    <t>Provides expertise in infrastructure and the financing, delivery and monitoring of major projects where HMT has liabilities attached. To support more effective management and delivery across government on portfolio of projects and representing HMT interests as a Director on Project Boards.</t>
  </si>
  <si>
    <t>Loveday</t>
  </si>
  <si>
    <t>Director of Infrastructure, Enterprise &amp; Growth</t>
  </si>
  <si>
    <t>Project Delivery Senior Leadership Team</t>
  </si>
  <si>
    <t>Kirby</t>
  </si>
  <si>
    <t>Jules</t>
  </si>
  <si>
    <t>Deputy Director, Complex Transactions Team</t>
  </si>
  <si>
    <t>Complex Transactions Team</t>
  </si>
  <si>
    <t>Rimmer</t>
  </si>
  <si>
    <t>Horton</t>
  </si>
  <si>
    <t>Programme Director, Public Bodies Reform</t>
  </si>
  <si>
    <t>Butterworth</t>
  </si>
  <si>
    <t>Salzedo</t>
  </si>
  <si>
    <t>Marco</t>
  </si>
  <si>
    <t>Commercial Central Teams</t>
  </si>
  <si>
    <t>Roberts</t>
  </si>
  <si>
    <t>Director of Commercial Services for the Metropolitan Police Service</t>
  </si>
  <si>
    <t>Metropolitan Police Service</t>
  </si>
  <si>
    <t>Chivers</t>
  </si>
  <si>
    <t>Government Chief Property Officer</t>
  </si>
  <si>
    <t>Responsible for providing senior, strategic leadership for the whole cross-government property function</t>
  </si>
  <si>
    <t>Director, Strategy and Legislation</t>
  </si>
  <si>
    <t>Vickerstaff</t>
  </si>
  <si>
    <t>Director of Finance and Deputy CEO Infrastructure Projects Authority</t>
  </si>
  <si>
    <t>Infrastructure and Projects Authority</t>
  </si>
  <si>
    <t>DWP Commercial Directorate</t>
  </si>
  <si>
    <t xml:space="preserve">BEIS Commercial Team </t>
  </si>
  <si>
    <t>Cairnduff</t>
  </si>
  <si>
    <t>GCO - CO/Complex transations team</t>
  </si>
  <si>
    <t>Megan</t>
  </si>
  <si>
    <t>Chief Strategy &amp; Transformation Officer</t>
  </si>
  <si>
    <t>Executive Team</t>
  </si>
  <si>
    <t>Melinda</t>
  </si>
  <si>
    <t>DHSC Commercial Directorate</t>
  </si>
  <si>
    <t>Potter</t>
  </si>
  <si>
    <t>Government Chief Digital Officer</t>
  </si>
  <si>
    <t>Leading the CDIO Directorate to support the digital transformation, modernisation and reform of the Cabinet Office</t>
  </si>
  <si>
    <t>Smallwood</t>
  </si>
  <si>
    <t>Director General, CEO of Infrastructure and Projects Authority</t>
  </si>
  <si>
    <t>Ayling</t>
  </si>
  <si>
    <t>Director, Defence and Nuclear</t>
  </si>
  <si>
    <t>National Security Secretariat</t>
  </si>
  <si>
    <t>Lloyd</t>
  </si>
  <si>
    <t>Joicey</t>
  </si>
  <si>
    <t>EDS Director General</t>
  </si>
  <si>
    <t>Director General of Economic &amp; Domestic Sectretariat</t>
  </si>
  <si>
    <t>Herrington</t>
  </si>
  <si>
    <t>HO Commercial Directorate</t>
  </si>
  <si>
    <t>Winhall</t>
  </si>
  <si>
    <t>Noreen</t>
  </si>
  <si>
    <t>CCS Chief Commerical Officer</t>
  </si>
  <si>
    <t>Nolan</t>
  </si>
  <si>
    <t xml:space="preserve">Commercial Director </t>
  </si>
  <si>
    <t>Digital &amp; Data Services Crown Commercial Services</t>
  </si>
  <si>
    <t>Kellett</t>
  </si>
  <si>
    <t>DIT Commercial Directorate</t>
  </si>
  <si>
    <t>Bell</t>
  </si>
  <si>
    <t>Orumwense</t>
  </si>
  <si>
    <t>CCS Commercial Directorate</t>
  </si>
  <si>
    <t>Denney</t>
  </si>
  <si>
    <t>Director, Corporate Pillar</t>
  </si>
  <si>
    <t>Crown Commercial Service</t>
  </si>
  <si>
    <t>Woodstock</t>
  </si>
  <si>
    <t>HMRC Commercial Team</t>
  </si>
  <si>
    <t>Ulyatt</t>
  </si>
  <si>
    <t>Perm Sec/COO ( interim)</t>
  </si>
  <si>
    <t>Permanent Sec No10</t>
  </si>
  <si>
    <t>Bromiley</t>
  </si>
  <si>
    <t>Senior Commercial Specialist (SCS2 equivalent), MoD</t>
  </si>
  <si>
    <t>Tse</t>
  </si>
  <si>
    <t>Director General - Chief Executive Officer, Crown Commercial Service</t>
  </si>
  <si>
    <t>The Crown Commercial Service (CCS) provides commercial and procurement expertise and services to government and the wider public sector, designing category strategies and commercial agreements for common goods and services, from locum doctors to laptops, police cars and office consumables.</t>
  </si>
  <si>
    <t>Gass</t>
  </si>
  <si>
    <t>Chair of the Joint Intelligence Organisation</t>
  </si>
  <si>
    <t>Joint Intelligence Organisation</t>
  </si>
  <si>
    <t>Case</t>
  </si>
  <si>
    <t>Cabinet Secretary and Head of the Civil Service</t>
  </si>
  <si>
    <t>The Cabinet Secretary and Head of the Civil Service is the most senior civil servant in the UK and the principal official adviser to the Prime Minister and Cabinet.</t>
  </si>
  <si>
    <t>Baugh</t>
  </si>
  <si>
    <t>Chief Executive, Government Communication (DG)</t>
  </si>
  <si>
    <t>The Chief Executive leads the Government Communication Service </t>
  </si>
  <si>
    <t>Lovegrove</t>
  </si>
  <si>
    <t>National Security Adviser</t>
  </si>
  <si>
    <t>The National Security Adviser is the principal official adviser to the Prime Minister and Cabinet on national security matters.</t>
  </si>
  <si>
    <t>Oldfield</t>
  </si>
  <si>
    <t>Stephen Philip</t>
  </si>
  <si>
    <t>Commercial &amp; Life Sciences Group</t>
  </si>
  <si>
    <t>Chalmers</t>
  </si>
  <si>
    <t>Head of Non Current Assets</t>
  </si>
  <si>
    <t>Lead for Data Collection, Non Current Assets</t>
  </si>
  <si>
    <t>Barrow</t>
  </si>
  <si>
    <t>Dunn</t>
  </si>
  <si>
    <t>Shona</t>
  </si>
  <si>
    <t>Department of Health and Social Care</t>
  </si>
  <si>
    <t>Fenton</t>
  </si>
  <si>
    <t>Kevin</t>
  </si>
  <si>
    <t>Regional Director for London</t>
  </si>
  <si>
    <t>Office for Health Improvement and Disparities</t>
  </si>
  <si>
    <t>Whitty</t>
  </si>
  <si>
    <t>Chief Medical Officer for England</t>
  </si>
  <si>
    <t>Huggins</t>
  </si>
  <si>
    <t>Chief Information Security Officer</t>
  </si>
  <si>
    <t>Digital and Data</t>
  </si>
  <si>
    <t>Mackie</t>
  </si>
  <si>
    <t>Anne</t>
  </si>
  <si>
    <t>Deputy Director of Screening Operations and Quality Assurance</t>
  </si>
  <si>
    <t>Mapstone</t>
  </si>
  <si>
    <t>Medical Consultant</t>
  </si>
  <si>
    <t>Deputy Regional Director and NHS Regional Director</t>
  </si>
  <si>
    <t>Barnett</t>
  </si>
  <si>
    <t>Regional Director of South East England</t>
  </si>
  <si>
    <t>de Gruchy</t>
  </si>
  <si>
    <t>Jeanelle</t>
  </si>
  <si>
    <t>Deputy Chief Medical Officer for Health Improvement</t>
  </si>
  <si>
    <t>Style</t>
  </si>
  <si>
    <t>Director General, NHS Policy &amp; Performance</t>
  </si>
  <si>
    <t>NHS Policy and Performance</t>
  </si>
  <si>
    <t>Ibbotson</t>
  </si>
  <si>
    <t>Regional Director of Midlands</t>
  </si>
  <si>
    <t>Trenholm</t>
  </si>
  <si>
    <t>To lead CQC, to deliver the vision and objectives set by the Board; driving the delivery of effective regulation in order to improve the quality of health and social care and to protect the rights of those detained under the Mental Health Act.</t>
  </si>
  <si>
    <t>Care Quality Commission</t>
  </si>
  <si>
    <t>Terroni</t>
  </si>
  <si>
    <t>Kate</t>
  </si>
  <si>
    <t>Chief Inspector of Adult Social Care and Interim Chief Operating Officer</t>
  </si>
  <si>
    <t>To lead the inspection and regulation of  services across all sectors.</t>
  </si>
  <si>
    <t>O'Kelly</t>
  </si>
  <si>
    <t>Sean</t>
  </si>
  <si>
    <t>Chief Inspector of Hospitals and Interim Chief Inspector of Primary Medical Services</t>
  </si>
  <si>
    <t>Briggs</t>
  </si>
  <si>
    <t>Very Senior Manager (NHS)</t>
  </si>
  <si>
    <t>Local Postgraduate Dental Dean</t>
  </si>
  <si>
    <t>Medical Education</t>
  </si>
  <si>
    <t>Health Education England</t>
  </si>
  <si>
    <t>Brooke</t>
  </si>
  <si>
    <t>Medical Director Workforce Alignment</t>
  </si>
  <si>
    <t>Byrne</t>
  </si>
  <si>
    <t>Director of Global Health Partnerships</t>
  </si>
  <si>
    <t>Corne</t>
  </si>
  <si>
    <t>Local Postgraduate Dean</t>
  </si>
  <si>
    <t>Ahalia Navina</t>
  </si>
  <si>
    <t>Gregory</t>
  </si>
  <si>
    <t>Medical Director (Primary and Integrated Care)</t>
  </si>
  <si>
    <t>Irish</t>
  </si>
  <si>
    <t>Regional Postgraduate Dean</t>
  </si>
  <si>
    <t>Kumar</t>
  </si>
  <si>
    <t>Namita</t>
  </si>
  <si>
    <t>MacLeod</t>
  </si>
  <si>
    <t>Sheona</t>
  </si>
  <si>
    <t>Medical Director for Medical Reform</t>
  </si>
  <si>
    <t>Mamelok</t>
  </si>
  <si>
    <t>Wendy</t>
  </si>
  <si>
    <t>Director of Education and Quality/Medical Director</t>
  </si>
  <si>
    <t>Bolton</t>
  </si>
  <si>
    <t>CEO and Accounting Officer</t>
  </si>
  <si>
    <t>NHS Digital</t>
  </si>
  <si>
    <t>Jackie</t>
  </si>
  <si>
    <t>Executive Director of Information Governance</t>
  </si>
  <si>
    <t>Provides IG leadership and governance</t>
  </si>
  <si>
    <t>Koch</t>
  </si>
  <si>
    <t>Executive Director of Platforms</t>
  </si>
  <si>
    <t>Provides Platforms leadership</t>
  </si>
  <si>
    <t>Executive Director of IT Operations and Enterprise Services</t>
  </si>
  <si>
    <t>Chief Information Officer for NHS Digital providing strategic oversight and delivery of national NHS Infrastructure services</t>
  </si>
  <si>
    <t>Clifton</t>
  </si>
  <si>
    <t>Executive Director of Product Delivery</t>
  </si>
  <si>
    <t>Provides oversight and leadership of the development of national data and technology products to the NHS</t>
  </si>
  <si>
    <t>Sebastian</t>
  </si>
  <si>
    <t>Associate Director Clinical- Medical Professional</t>
  </si>
  <si>
    <t>Strategic Clinical Lead for Patient Safety</t>
  </si>
  <si>
    <t>Dhillon</t>
  </si>
  <si>
    <t>Arjun</t>
  </si>
  <si>
    <t>Caldicott Guardian and Clinical (Data Services) Team Lead</t>
  </si>
  <si>
    <t>Senior Clinical Lead-Medical Professional</t>
  </si>
  <si>
    <t>Chief Clinician Primary Care Technology and Screening</t>
  </si>
  <si>
    <t>Pujara</t>
  </si>
  <si>
    <t>Manpreet</t>
  </si>
  <si>
    <t>Chief Clinician for Patient Safety</t>
  </si>
  <si>
    <t>Rajkumar</t>
  </si>
  <si>
    <t>Alagu</t>
  </si>
  <si>
    <t>Head of Profession and Responsible Officer for Medical Staff revalidation</t>
  </si>
  <si>
    <t>Vernon</t>
  </si>
  <si>
    <t>Accountable Officer for NHS Resolution</t>
  </si>
  <si>
    <t>NHS Resolution</t>
  </si>
  <si>
    <t>Brodie</t>
  </si>
  <si>
    <t>NHS Business Services Authority</t>
  </si>
  <si>
    <t>Miflin</t>
  </si>
  <si>
    <t>Gail</t>
  </si>
  <si>
    <t>Medical &amp; Research Director</t>
  </si>
  <si>
    <t>Clinical Directorate</t>
  </si>
  <si>
    <t>NHS Blood and Transplant</t>
  </si>
  <si>
    <t>Consultant</t>
  </si>
  <si>
    <t>Farrukh</t>
  </si>
  <si>
    <t>Medical Director Transfusion</t>
  </si>
  <si>
    <t>El-Ghariani</t>
  </si>
  <si>
    <t>Khaled</t>
  </si>
  <si>
    <t>Foukaneli</t>
  </si>
  <si>
    <t>Theodora</t>
  </si>
  <si>
    <t>Consultant in Haematology</t>
  </si>
  <si>
    <t>Laura</t>
  </si>
  <si>
    <t>Consultant in Haemostasis and Transfusion Medicine</t>
  </si>
  <si>
    <t>Director of Blood Supply (Interim)</t>
  </si>
  <si>
    <t>Blood Supply Directorate</t>
  </si>
  <si>
    <t>Stanworth</t>
  </si>
  <si>
    <t>Consultant in Transfusion Medicine</t>
  </si>
  <si>
    <t>Pawson</t>
  </si>
  <si>
    <t>Pritchard</t>
  </si>
  <si>
    <t>The role of NHS England is to create the culture and conditions for health and care services and staff to deliver the highest standard of care and ensure that valuable public resources are used effectively to get the best outcomes for individuals, communities and society for now and for future generations.  NHS England and NHS Improvement also exists to provide system leadership to the NHS in partnership with other national bodies and the Department of Health and Social Care, ensuring the NHS Five Year Forward View can be delivered.</t>
  </si>
  <si>
    <t>NHS England</t>
  </si>
  <si>
    <t>Issar</t>
  </si>
  <si>
    <t>Prerana</t>
  </si>
  <si>
    <t>The People Function has an overall purpose to build the first national people function for the NHS, with a clear vision to support delivery of the ambitious agenda set out in the NHS Long Term Plan. The Interim People Plan builds on the NHS Long Term Plan ambitions to transform our workforce through a single strategic approach.</t>
  </si>
  <si>
    <t>Emily</t>
  </si>
  <si>
    <t>Head of No. 10 Delivery Unit</t>
  </si>
  <si>
    <t>On External Secondment - Job/Team function not known</t>
  </si>
  <si>
    <t>Rock</t>
  </si>
  <si>
    <t>Jacqueline</t>
  </si>
  <si>
    <t>The core role and purpose of the Commercial Directorate is to provide a first class commercial management service ensuring NHS England is well advised and provided with excellent commercial services at all times.</t>
  </si>
  <si>
    <t>Powis</t>
  </si>
  <si>
    <t>National Medical Director</t>
  </si>
  <si>
    <t>The core role and purpose of the Medical Directorate is to continuously improve quality outcomes through clinical leadership and influence in the three domains of; preventing people from dying prematurely; enhancing quality of life for people with long-term conditions; and helping people to recover from episodes of ill health or following injury, in accordance with NHS Five Year Forward View and the re in collabortation with the Medical Royal Colleges, regulators and the British Medical Association.</t>
  </si>
  <si>
    <t>Doyle</t>
  </si>
  <si>
    <t>National Director of Primary Care &amp; Community Services</t>
  </si>
  <si>
    <t>Leads the Primary Care &amp; Community Services function for the health service in England.</t>
  </si>
  <si>
    <t>Julian</t>
  </si>
  <si>
    <t xml:space="preserve">The core role and purpose of the Finance Directorate is to provide a first class financial management service ensuring NHS England is well advised and provided with excellent financial services at all times and that NHS commissioning budgets are aligned with the NHS Five Year Forward View and ensuring the future sustainability and transformation of the NHS in England.  </t>
  </si>
  <si>
    <t>Morag</t>
  </si>
  <si>
    <t>Chief Programme Officer</t>
  </si>
  <si>
    <t>To oversee and lead the New Hospital Programme</t>
  </si>
  <si>
    <t>Diwakar</t>
  </si>
  <si>
    <t>Vinod</t>
  </si>
  <si>
    <t>Medical Director for Secondary Care and Transformation</t>
  </si>
  <si>
    <t>Dark</t>
  </si>
  <si>
    <t>Blake</t>
  </si>
  <si>
    <t>Commercial Medicines Director</t>
  </si>
  <si>
    <t>The NHS Commercial Medicines Directorate incorporates Cancer Drugs Fund, CMU and Commercial Development Teams and for new innovative medicines their primary customer historically is Specialised Commissioning.</t>
  </si>
  <si>
    <t>Hopson</t>
  </si>
  <si>
    <t>Chief Strategy Officer</t>
  </si>
  <si>
    <t>The Strategy Directorate leads on NHS strategy; sustainability and transformation; planning and implementing the Five Year Forward View; vanguards and the new care models programme; giving power to patients through personalisation and choice; commissioning strategy and development; and prioritising science and innovation.</t>
  </si>
  <si>
    <t>Eden</t>
  </si>
  <si>
    <t>Regional Director</t>
  </si>
  <si>
    <t>At a regional level, to work to achieve shared goals of improving outcomes and delivery of the mandate, using a single, transparent, rules-based operating model.</t>
  </si>
  <si>
    <t>Medical Director System Improvement &amp; Professional Standards</t>
  </si>
  <si>
    <t>Barker</t>
  </si>
  <si>
    <t>Fowler</t>
  </si>
  <si>
    <t>Aidan</t>
  </si>
  <si>
    <t>NHS National Medical Director for Patient Safety</t>
  </si>
  <si>
    <t>Leads the national patient safety function for the health service in England.</t>
  </si>
  <si>
    <t>Medical Director Direct and Specialised Commissioning</t>
  </si>
  <si>
    <t>Buggle</t>
  </si>
  <si>
    <t>Jeffrey</t>
  </si>
  <si>
    <t>Director of Finance</t>
  </si>
  <si>
    <t>At regional level leads the business and finance function.</t>
  </si>
  <si>
    <t>Bywater</t>
  </si>
  <si>
    <t>May</t>
  </si>
  <si>
    <t>Chief Nursing Officer</t>
  </si>
  <si>
    <t>Leads on the development of national Nursing.</t>
  </si>
  <si>
    <t>Ann</t>
  </si>
  <si>
    <t>Sturrock</t>
  </si>
  <si>
    <t>Medical Director &amp; CCIO</t>
  </si>
  <si>
    <t>Iles</t>
  </si>
  <si>
    <t>Melanie</t>
  </si>
  <si>
    <t>Director of Specialised Commissioning</t>
  </si>
  <si>
    <t>Leading the national policy, delivery, assurance and commissioning arrangements in respect of a series of specialised services, in collaboration with NHS England regional specialised commissioning teams.</t>
  </si>
  <si>
    <t>Masters</t>
  </si>
  <si>
    <t>1500 - Executive Director of Strategy</t>
  </si>
  <si>
    <t>Leads on the development of national policy and strategy.</t>
  </si>
  <si>
    <t>Prentice</t>
  </si>
  <si>
    <t>National Director Emergency Planning and Incident Response</t>
  </si>
  <si>
    <t>Leads the national emergency planning and incident response function for the health service in England.</t>
  </si>
  <si>
    <t>Donnelly</t>
  </si>
  <si>
    <t>Tara</t>
  </si>
  <si>
    <t>Director of Digital Care Models</t>
  </si>
  <si>
    <t>The core role and purpose of NHSX is digital transformation.</t>
  </si>
  <si>
    <t>Wilkinson-Brice</t>
  </si>
  <si>
    <t>Deputy Chief People Officer</t>
  </si>
  <si>
    <t>Benneyworth</t>
  </si>
  <si>
    <t>Rosie</t>
  </si>
  <si>
    <t>4000 - Chief Investigator</t>
  </si>
  <si>
    <t>The core role and purpose of HSIB  is to improve patient safety through independent investigations into NHS-funded care across England.</t>
  </si>
  <si>
    <t>Khashu</t>
  </si>
  <si>
    <t>Nikhil</t>
  </si>
  <si>
    <t>Lewis</t>
  </si>
  <si>
    <t>Vaughan</t>
  </si>
  <si>
    <t>Medical Director and Chief Clinical Information Officer</t>
  </si>
  <si>
    <t>Aly</t>
  </si>
  <si>
    <t>Medical Director System Improvement &amp; Prof Standards</t>
  </si>
  <si>
    <t>Palmer</t>
  </si>
  <si>
    <t>Medical Director - Clinical Services</t>
  </si>
  <si>
    <t>Kessel</t>
  </si>
  <si>
    <t>Anthony</t>
  </si>
  <si>
    <t>Clinical Director (Medical)</t>
  </si>
  <si>
    <t>Citrine</t>
  </si>
  <si>
    <t>Hayley</t>
  </si>
  <si>
    <t>Chief Nurse</t>
  </si>
  <si>
    <t>Dental Advisors</t>
  </si>
  <si>
    <t>Jain</t>
  </si>
  <si>
    <t>Aditya</t>
  </si>
  <si>
    <t>Deputy Medical Director - Appraisal Lead</t>
  </si>
  <si>
    <t>Tong</t>
  </si>
  <si>
    <t>Cumberlege</t>
  </si>
  <si>
    <t>Julia</t>
  </si>
  <si>
    <t>Maternity Transformation Programme Ambassador</t>
  </si>
  <si>
    <t xml:space="preserve">The Maternity Transformation Programme seeks to achieve the vision set out in Better Births by bringing together a wide range of organisations to lead and deliver across 9 work streams.  This role sits within the Programme Board and acts as Stakeholder Reference Group Chair / CCG IAF Panel Chair. </t>
  </si>
  <si>
    <t>Ahmed</t>
  </si>
  <si>
    <t>Nadeem</t>
  </si>
  <si>
    <t>Clinical Advisor - LPN Dental</t>
  </si>
  <si>
    <t>Marlow</t>
  </si>
  <si>
    <t>Clinical Appraisal Lead</t>
  </si>
  <si>
    <t>Ghattaora</t>
  </si>
  <si>
    <t>Rashbal</t>
  </si>
  <si>
    <t>Heyes</t>
  </si>
  <si>
    <t>Clinical Advisor - Dental</t>
  </si>
  <si>
    <t>Egdell</t>
  </si>
  <si>
    <t>Carl</t>
  </si>
  <si>
    <t>Randle</t>
  </si>
  <si>
    <t>Amelia</t>
  </si>
  <si>
    <t>Clinical Director</t>
  </si>
  <si>
    <t>Clinical Senates are a source of independent, strategic advice and guidance to commissioners and other stakeholders to assist them to make the best decisions about healthcare for the populations they represent.</t>
  </si>
  <si>
    <t>Lakhani</t>
  </si>
  <si>
    <t>Pavni</t>
  </si>
  <si>
    <t>Thornley</t>
  </si>
  <si>
    <t>Hume</t>
  </si>
  <si>
    <t>Khatib</t>
  </si>
  <si>
    <t>Rami</t>
  </si>
  <si>
    <t>Tang</t>
  </si>
  <si>
    <t>Ming</t>
  </si>
  <si>
    <t>Data and Analytics Director</t>
  </si>
  <si>
    <t>Leads on the development of data and analytics.</t>
  </si>
  <si>
    <t>Simons</t>
  </si>
  <si>
    <t>Chief HR &amp; OD Officer</t>
  </si>
  <si>
    <t>Leads the HR&amp;OD Services function for the health service in England.</t>
  </si>
  <si>
    <t xml:space="preserve">Roberts </t>
  </si>
  <si>
    <t xml:space="preserve">Samantha </t>
  </si>
  <si>
    <t xml:space="preserve">Chief Executive Officer </t>
  </si>
  <si>
    <t>National Institute for Health and Care Excellence</t>
  </si>
  <si>
    <t xml:space="preserve">Alllsop </t>
  </si>
  <si>
    <t>Chief Medical Officer and Caldicott Guardian</t>
  </si>
  <si>
    <t>Brooks</t>
  </si>
  <si>
    <t>Head of Medical Affairs</t>
  </si>
  <si>
    <t xml:space="preserve">Chief Medical Advisor </t>
  </si>
  <si>
    <t>UK Health Security Agency</t>
  </si>
  <si>
    <t>Brown</t>
  </si>
  <si>
    <t>Clinical Service Director</t>
  </si>
  <si>
    <t>Chief Scientific Advisor Transition Lead</t>
  </si>
  <si>
    <t>Donati</t>
  </si>
  <si>
    <t>Consultant Clinical Virologist</t>
  </si>
  <si>
    <t>Yvonne</t>
  </si>
  <si>
    <t>Director for Health Protection</t>
  </si>
  <si>
    <t>Chief Operating Officer Testing</t>
  </si>
  <si>
    <t>Ghebrehewet</t>
  </si>
  <si>
    <t>DD of Regional – North West</t>
  </si>
  <si>
    <t>Gleave</t>
  </si>
  <si>
    <t>Director of Science Strategy</t>
  </si>
  <si>
    <t>Harries</t>
  </si>
  <si>
    <t>Jenny</t>
  </si>
  <si>
    <t>CEX</t>
  </si>
  <si>
    <t>Howes</t>
  </si>
  <si>
    <t xml:space="preserve">Leamington Spa Lab Director </t>
  </si>
  <si>
    <t>Ladhani</t>
  </si>
  <si>
    <t>Shamez</t>
  </si>
  <si>
    <t>Manuel</t>
  </si>
  <si>
    <t>Rohini</t>
  </si>
  <si>
    <t>Consultant Medical Microbiologist</t>
  </si>
  <si>
    <t>Mifsud</t>
  </si>
  <si>
    <t>Albert</t>
  </si>
  <si>
    <t>Virginia</t>
  </si>
  <si>
    <t xml:space="preserve">Programme Lead </t>
  </si>
  <si>
    <t>Isabel</t>
  </si>
  <si>
    <t>Chief Scientific Officer</t>
  </si>
  <si>
    <t>Osman</t>
  </si>
  <si>
    <t>Husam</t>
  </si>
  <si>
    <t>Consultant Medical Virologist</t>
  </si>
  <si>
    <t>Bharatkumar</t>
  </si>
  <si>
    <t>Ramsay</t>
  </si>
  <si>
    <t>Mary</t>
  </si>
  <si>
    <t>Director of Public Health Programmes</t>
  </si>
  <si>
    <t>Rickeard</t>
  </si>
  <si>
    <t>Senior Manager</t>
  </si>
  <si>
    <t>Head Technical Services ImmForm</t>
  </si>
  <si>
    <t>DG Finance, Commercial and Corporate Services (FCC)</t>
  </si>
  <si>
    <t>Consultant - Cardiff</t>
  </si>
  <si>
    <t>Zambon</t>
  </si>
  <si>
    <t>Head of UKHSA Influenza, MERS &amp; Acute Resp Virololgy</t>
  </si>
  <si>
    <t>Kantor</t>
  </si>
  <si>
    <t>Suzy</t>
  </si>
  <si>
    <t>Director International Finance</t>
  </si>
  <si>
    <t>Khan</t>
  </si>
  <si>
    <t>Lowri</t>
  </si>
  <si>
    <t>Director, Financial Stability</t>
  </si>
  <si>
    <t>Knott</t>
  </si>
  <si>
    <t>Deputy Director, Cross Cutting Strategy</t>
  </si>
  <si>
    <t>Knox</t>
  </si>
  <si>
    <t>Director, Economics Group</t>
  </si>
  <si>
    <t>Economics</t>
  </si>
  <si>
    <t>Junejo</t>
  </si>
  <si>
    <t>Shehroze</t>
  </si>
  <si>
    <t>Fortnightly</t>
  </si>
  <si>
    <t>MacDougall</t>
  </si>
  <si>
    <t>UK Director to the EBRD</t>
  </si>
  <si>
    <t>O'Neil</t>
  </si>
  <si>
    <t>Molyneux</t>
  </si>
  <si>
    <t>Deputy Director, Workforce, Pay and Pensions</t>
  </si>
  <si>
    <t>Nurse</t>
  </si>
  <si>
    <t>Gwyneth</t>
  </si>
  <si>
    <t>Director General, Financial Services</t>
  </si>
  <si>
    <t>Corporate Centre</t>
  </si>
  <si>
    <t>Elithorn</t>
  </si>
  <si>
    <t>Cavendish</t>
  </si>
  <si>
    <t>Director, OxCam Growth Corridor</t>
  </si>
  <si>
    <t>Director, CES/CEE</t>
  </si>
  <si>
    <t>Coady</t>
  </si>
  <si>
    <t>Director, Operations</t>
  </si>
  <si>
    <t>Tanya</t>
  </si>
  <si>
    <t>tanya.hughes@hmtreasury.gov.uk</t>
  </si>
  <si>
    <t>Deputy Director, HR Ops, Policy and Pay</t>
  </si>
  <si>
    <t>Commercial Director HMCTS, ALBs and Core Services</t>
  </si>
  <si>
    <t>Poon</t>
  </si>
  <si>
    <t>Veda</t>
  </si>
  <si>
    <t>Director, International</t>
  </si>
  <si>
    <t>Clark</t>
  </si>
  <si>
    <t>Commercial Director</t>
  </si>
  <si>
    <t>CBDC Project</t>
  </si>
  <si>
    <t>Sims</t>
  </si>
  <si>
    <t>Fran</t>
  </si>
  <si>
    <t>Deputy Director, Heathrow Airport Expansion</t>
  </si>
  <si>
    <t>Hitchings</t>
  </si>
  <si>
    <t>Sneath</t>
  </si>
  <si>
    <t>Head of People and Capability</t>
  </si>
  <si>
    <t>Director, Public Services</t>
  </si>
  <si>
    <t>Director of Public Services</t>
  </si>
  <si>
    <t>Woods</t>
  </si>
  <si>
    <t>Director, International Economics</t>
  </si>
  <si>
    <t>Whyte</t>
  </si>
  <si>
    <t>Lindsey</t>
  </si>
  <si>
    <t>Director General International</t>
  </si>
  <si>
    <t>Buttimer</t>
  </si>
  <si>
    <t>Gemma</t>
  </si>
  <si>
    <t>Strategic Planning Lead</t>
  </si>
  <si>
    <t>Stephens</t>
  </si>
  <si>
    <t>huw.stephens@hmtreasury.gov.uk</t>
  </si>
  <si>
    <t>Chief Information Officer, Head of Treasury Business Solutions</t>
  </si>
  <si>
    <t>Smewing</t>
  </si>
  <si>
    <t>Conrad</t>
  </si>
  <si>
    <t>Director General, Public Spending</t>
  </si>
  <si>
    <t>Read</t>
  </si>
  <si>
    <t>CEO, Government Digital Service</t>
  </si>
  <si>
    <t>The Government Digital Service (GDS) is leading the digital transformation of government. It acts as the centre of excellence in digital, technology and data, collaborating with departments to help them with their own transformation, and working with them to build platforms, and digital services.</t>
  </si>
  <si>
    <t>COHMT Commercial Director</t>
  </si>
  <si>
    <t>Leads the Commercial Directorate for the Cabinet Office and HM Treasury</t>
  </si>
  <si>
    <t>Jagger</t>
  </si>
  <si>
    <t>luke.jagger@businessandtrade.gov.uk</t>
  </si>
  <si>
    <t>Strategic Finance</t>
  </si>
  <si>
    <t>Policy and Strategy</t>
  </si>
  <si>
    <t>Department for Business and Trade</t>
  </si>
  <si>
    <t>Parmar</t>
  </si>
  <si>
    <t>Sonal</t>
  </si>
  <si>
    <t>peter.brown@british-business-bank.co.uk</t>
  </si>
  <si>
    <t>British Business Bank</t>
  </si>
  <si>
    <t>david.dean@british-business-bank.co.uk</t>
  </si>
  <si>
    <t>Iqbal</t>
  </si>
  <si>
    <t>Sabah</t>
  </si>
  <si>
    <t>sabah.iqbal@businessandtrade.gov.uk</t>
  </si>
  <si>
    <t>Senior Financial Reporting Accountant</t>
  </si>
  <si>
    <t>Financial Reporting</t>
  </si>
  <si>
    <t>Wareing</t>
  </si>
  <si>
    <t>steven.wareing@businessandtrade.gov.uk</t>
  </si>
  <si>
    <t>Head of Financial Reporting</t>
  </si>
  <si>
    <t>Chomprasert</t>
  </si>
  <si>
    <t>Mananchaya</t>
  </si>
  <si>
    <t>mananchaya.chomparesert@businessandtrade.gov.uk</t>
  </si>
  <si>
    <t>Contingent Liabilities Lead</t>
  </si>
  <si>
    <t>Vanning</t>
  </si>
  <si>
    <t>Darren</t>
  </si>
  <si>
    <t>darren.vanning2@businessandtrade.gov.uk</t>
  </si>
  <si>
    <t>Policy Advisor</t>
  </si>
  <si>
    <t>Policy, COVID and ENABLE</t>
  </si>
  <si>
    <t>King</t>
  </si>
  <si>
    <t>mike.king3@businessandtrade.gov.uk</t>
  </si>
  <si>
    <t>White</t>
  </si>
  <si>
    <t>richard.white@businessandtrade.gov.uk</t>
  </si>
  <si>
    <t>Strategic Consultancy Unit</t>
  </si>
  <si>
    <t>matthew.brown5@businessandtrade.gov.uk</t>
  </si>
  <si>
    <t>Shields</t>
  </si>
  <si>
    <t>michael.shields@businessandtrade.gov.uk</t>
  </si>
  <si>
    <t>Brophy</t>
  </si>
  <si>
    <t>Eddie</t>
  </si>
  <si>
    <t>eddie.brophy@businessandtrade.gov.uk</t>
  </si>
  <si>
    <t>Senior Financial Accountant</t>
  </si>
  <si>
    <t>Hurem</t>
  </si>
  <si>
    <t>Dzenana</t>
  </si>
  <si>
    <t>dzenana.hurem@businessandtrade.gov.uk</t>
  </si>
  <si>
    <t>Financial Transactions</t>
  </si>
  <si>
    <t>richard.wood@businessandtrade.gov.uk</t>
  </si>
  <si>
    <t>Financial Controller</t>
  </si>
  <si>
    <t>Spillman</t>
  </si>
  <si>
    <t>thomas.spillman@dcms.gov.uk</t>
  </si>
  <si>
    <t>Head of Strategic Finance</t>
  </si>
  <si>
    <t>Department for Culture, Media and Sport</t>
  </si>
  <si>
    <t>Panes</t>
  </si>
  <si>
    <t>louise.roberts@dcms.gov.uk</t>
  </si>
  <si>
    <t>Utting</t>
  </si>
  <si>
    <t>graeme.utting@dcms.gov.uk</t>
  </si>
  <si>
    <t>Head of Financial Accounts</t>
  </si>
  <si>
    <t>Ford</t>
  </si>
  <si>
    <t>liam.ford@dcms.gov.uk</t>
  </si>
  <si>
    <t>Ella</t>
  </si>
  <si>
    <t>david.ella@defra.gov.uk</t>
  </si>
  <si>
    <t>Head of Group Accounts</t>
  </si>
  <si>
    <t>Walters</t>
  </si>
  <si>
    <t>Preston</t>
  </si>
  <si>
    <t>emma.preston@energysecurity.gov.uk</t>
  </si>
  <si>
    <t>Department for Energy Security and Net Zero</t>
  </si>
  <si>
    <t>Slater</t>
  </si>
  <si>
    <t>emma.slater@energysecurity.gov.uk</t>
  </si>
  <si>
    <t>Blended Finance</t>
  </si>
  <si>
    <t>Langton</t>
  </si>
  <si>
    <t>Brad</t>
  </si>
  <si>
    <t>brad.langton@energysecurity.gov.uk</t>
  </si>
  <si>
    <t>Vassilev</t>
  </si>
  <si>
    <t>Andre</t>
  </si>
  <si>
    <t>andre.vassilev@energysecurity.gov.uk</t>
  </si>
  <si>
    <t>Swinton</t>
  </si>
  <si>
    <t>laura.swinton@energysecurity.gov.uk</t>
  </si>
  <si>
    <t>Financial Accountant</t>
  </si>
  <si>
    <t>Kingman</t>
  </si>
  <si>
    <t>gregory.kingman@energysecurity.gov.uk</t>
  </si>
  <si>
    <t>Maghrabi</t>
  </si>
  <si>
    <t>Syed</t>
  </si>
  <si>
    <t>syed.maghrabi@energysecurity.gov.uk</t>
  </si>
  <si>
    <t>Chick</t>
  </si>
  <si>
    <t>Ester</t>
  </si>
  <si>
    <t>ester.chick@energysecurity.gov.uk</t>
  </si>
  <si>
    <t>Ashurst</t>
  </si>
  <si>
    <t>andrew.ashurst@education.gov.uk</t>
  </si>
  <si>
    <t>Simran</t>
  </si>
  <si>
    <t>Wright</t>
  </si>
  <si>
    <t>christopher.wright@education.gov.uk</t>
  </si>
  <si>
    <t>Colley</t>
  </si>
  <si>
    <t>anna.colley@education.gov.uk</t>
  </si>
  <si>
    <t>Financial Business Partner</t>
  </si>
  <si>
    <t>Student Loan Books</t>
  </si>
  <si>
    <t>Don</t>
  </si>
  <si>
    <t>andrew.don@education.gov.uk</t>
  </si>
  <si>
    <t>Nightingale</t>
  </si>
  <si>
    <t>Ola</t>
  </si>
  <si>
    <t>ola.nightingale@education.gov.uk</t>
  </si>
  <si>
    <t>Flynn</t>
  </si>
  <si>
    <t>paul.flynn@education.gov.uk</t>
  </si>
  <si>
    <t>Griffiths</t>
  </si>
  <si>
    <t>Jennifer</t>
  </si>
  <si>
    <t>jennifer.griffiths@education.gov.uk</t>
  </si>
  <si>
    <t>Renshaw</t>
  </si>
  <si>
    <t>duncan.renshaw@education.gov.uk</t>
  </si>
  <si>
    <t>Manager(Contingent Liabilities and Provisions)</t>
  </si>
  <si>
    <t>Financial Governance</t>
  </si>
  <si>
    <t>Reeve</t>
  </si>
  <si>
    <t>sue.reeve@education.gov.uk</t>
  </si>
  <si>
    <t>Bedford</t>
  </si>
  <si>
    <t>david.bedford@education.gov.uk</t>
  </si>
  <si>
    <t>Steiger</t>
  </si>
  <si>
    <t>christopher.steiger@education.gov.uk</t>
  </si>
  <si>
    <t>Head of Technical Accounting and ARA</t>
  </si>
  <si>
    <t>Grainger</t>
  </si>
  <si>
    <t>louise.grainger@ofsted.gov.uk</t>
  </si>
  <si>
    <t>Ofsted</t>
  </si>
  <si>
    <t>Argument</t>
  </si>
  <si>
    <t>Lyndsey</t>
  </si>
  <si>
    <t>lyndsey.argument@ofsted.gov.uk</t>
  </si>
  <si>
    <t>Naish</t>
  </si>
  <si>
    <t>murray.naish@ofqual.gov.uk</t>
  </si>
  <si>
    <t>Ofqual</t>
  </si>
  <si>
    <t>elizabeth.dobson@dft.gov.uk</t>
  </si>
  <si>
    <t>Accountant, Technical Accountancy Advice</t>
  </si>
  <si>
    <t>Financial Accounting and Control</t>
  </si>
  <si>
    <t>Mosquera</t>
  </si>
  <si>
    <t>Gina</t>
  </si>
  <si>
    <t>Kara</t>
  </si>
  <si>
    <t>ara.daniel@dft.gov.uk</t>
  </si>
  <si>
    <t>Head of Financial Accounting</t>
  </si>
  <si>
    <t>daniel.flynn@dft.gov.uk</t>
  </si>
  <si>
    <t>Finance Business Partner (Aviation, Maritime and Security)</t>
  </si>
  <si>
    <t>Magee</t>
  </si>
  <si>
    <t>Cassie</t>
  </si>
  <si>
    <t>cassie.magee@dft.gov.uk</t>
  </si>
  <si>
    <t>Tailor</t>
  </si>
  <si>
    <t>Nilesh</t>
  </si>
  <si>
    <t>nilesh.tailor@dft.gov.uk</t>
  </si>
  <si>
    <t>Adam</t>
  </si>
  <si>
    <t>adam.griffiths@dhsc.gov.uk</t>
  </si>
  <si>
    <t>Section Head</t>
  </si>
  <si>
    <t>Darkin</t>
  </si>
  <si>
    <t>Heather</t>
  </si>
  <si>
    <t>heather.darkin@dhsc.gov.uk</t>
  </si>
  <si>
    <t>Core Accounts</t>
  </si>
  <si>
    <t>rob.white@dhsc.gov.uk</t>
  </si>
  <si>
    <t>Stout</t>
  </si>
  <si>
    <t>hannah.stout@dhsc.gov.uk</t>
  </si>
  <si>
    <t>jayesh.patel@dhsc.gov.uk</t>
  </si>
  <si>
    <t>Cook</t>
  </si>
  <si>
    <t>Sophie</t>
  </si>
  <si>
    <t>sophie.cook@dhsc.gov.uk</t>
  </si>
  <si>
    <t>Fixed Assets and Investments</t>
  </si>
  <si>
    <t>Horne</t>
  </si>
  <si>
    <t>Jamie</t>
  </si>
  <si>
    <t>jamie.horne@dhsc.gov.uk</t>
  </si>
  <si>
    <t>Financial Accounting Manager</t>
  </si>
  <si>
    <t>Frizelle</t>
  </si>
  <si>
    <t>Hettie</t>
  </si>
  <si>
    <t>hettie.frizelle@dhsc.gov.uk</t>
  </si>
  <si>
    <t>Pary</t>
  </si>
  <si>
    <t>Najiya</t>
  </si>
  <si>
    <t>najiya.pary@dhsc.gov.uk</t>
  </si>
  <si>
    <t>Lou</t>
  </si>
  <si>
    <t>jennifer.lou@dsit.gov.uk</t>
  </si>
  <si>
    <t>Department for Science, Innovation and Technology</t>
  </si>
  <si>
    <t>Sally</t>
  </si>
  <si>
    <t>sally.king@dsit.gov.uk</t>
  </si>
  <si>
    <t>Assistant Head of Financial Reporting</t>
  </si>
  <si>
    <t>Flanagan</t>
  </si>
  <si>
    <t>jack.flanagan@dsit.gov.uk</t>
  </si>
  <si>
    <t>Mclachlan</t>
  </si>
  <si>
    <t>peter.mclachlan2@dsit.gov.uk</t>
  </si>
  <si>
    <t>Leville</t>
  </si>
  <si>
    <t>Katy</t>
  </si>
  <si>
    <t>katy.leville@dsit.gov.uk</t>
  </si>
  <si>
    <t>Fielding</t>
  </si>
  <si>
    <t>Josh</t>
  </si>
  <si>
    <t>josh.fielding@dsit.gov.uk</t>
  </si>
  <si>
    <t>Strategic Finance Advisor</t>
  </si>
  <si>
    <t>gary.burns@dwp.gov.uk</t>
  </si>
  <si>
    <t>Financial Control&amp; Policy Team</t>
  </si>
  <si>
    <t>Pellegrini</t>
  </si>
  <si>
    <t>Francesco</t>
  </si>
  <si>
    <t>Edward</t>
  </si>
  <si>
    <t>chris.edward@dwp.gov.uk</t>
  </si>
  <si>
    <t>Main contact</t>
  </si>
  <si>
    <t>Scott-Rattray</t>
  </si>
  <si>
    <t>emily.scott-rattray@dwp.gov.uk</t>
  </si>
  <si>
    <t>Fairfax</t>
  </si>
  <si>
    <t>Stacey</t>
  </si>
  <si>
    <t>stacey.fairfax-price1@dwp.gov.uk</t>
  </si>
  <si>
    <t>Rowley</t>
  </si>
  <si>
    <t>stuart.rowley-vines@dwp.gov.uk</t>
  </si>
  <si>
    <t>McCauley</t>
  </si>
  <si>
    <t>stuart.mccauley@fcdo.gov.uk</t>
  </si>
  <si>
    <t>Lau</t>
  </si>
  <si>
    <t>Chun</t>
  </si>
  <si>
    <t>Templeton</t>
  </si>
  <si>
    <t>fiona.templeton@fcdo.gov.uk</t>
  </si>
  <si>
    <t>Barbour</t>
  </si>
  <si>
    <t>karen.barbour@fcdo.gov.uk</t>
  </si>
  <si>
    <t>Burnett</t>
  </si>
  <si>
    <t>Linzi</t>
  </si>
  <si>
    <t>linzi.burnett@fcdo.gov.uk</t>
  </si>
  <si>
    <t>Cunningham</t>
  </si>
  <si>
    <t>kirsty.cunningham@fcdo.gov.uk</t>
  </si>
  <si>
    <t>julia.mcdonald@fcdo.gov.uk</t>
  </si>
  <si>
    <t>Bateman</t>
  </si>
  <si>
    <t>tbateman@bii.co.uk</t>
  </si>
  <si>
    <t>Manager</t>
  </si>
  <si>
    <t>Global Affairs</t>
  </si>
  <si>
    <t>British International Investment</t>
  </si>
  <si>
    <t>Callender</t>
  </si>
  <si>
    <t>ccallender@bii.co.uk</t>
  </si>
  <si>
    <t>jhughes@bii.co.uk</t>
  </si>
  <si>
    <t>Singleton</t>
  </si>
  <si>
    <t>robert.singleton@fcdo.gov.uk</t>
  </si>
  <si>
    <t>Holden</t>
  </si>
  <si>
    <t>ros.holden@homesengland.gov.uk</t>
  </si>
  <si>
    <t>Ministry of Housing, Communities and Local Government</t>
  </si>
  <si>
    <t>Anju</t>
  </si>
  <si>
    <t>adrian.hall@hmrc.gov.uk</t>
  </si>
  <si>
    <t>Accounting Transformational Lead</t>
  </si>
  <si>
    <t>Carlsson</t>
  </si>
  <si>
    <t>Dynes</t>
  </si>
  <si>
    <t>Declan</t>
  </si>
  <si>
    <t>declan.dynes@hmrc.gov.uk</t>
  </si>
  <si>
    <t>Pope</t>
  </si>
  <si>
    <t>martin.pope@hmrc.gov.uk</t>
  </si>
  <si>
    <t>Resource Accounts Development and Reconciliations (RADAR) Team Lead</t>
  </si>
  <si>
    <t>Resource, Accounts, Development and Reconciliations</t>
  </si>
  <si>
    <t>Bolam</t>
  </si>
  <si>
    <t>michael.bolam@hmrc.gov.uk</t>
  </si>
  <si>
    <t>Cluett</t>
  </si>
  <si>
    <t>simon.cluett@hmrc.gov.uk</t>
  </si>
  <si>
    <t>Walmsley</t>
  </si>
  <si>
    <t>Trudy</t>
  </si>
  <si>
    <t>trudy.walmsley@hmrc.gov.uk</t>
  </si>
  <si>
    <t>Kinton</t>
  </si>
  <si>
    <t>Tina</t>
  </si>
  <si>
    <t>tina.kinton1@hmrc.gov.uk</t>
  </si>
  <si>
    <t>Shaun</t>
  </si>
  <si>
    <t>shaun.james@hmrc.gov.uk</t>
  </si>
  <si>
    <t>michael.johnson@hmrc.gov.uk</t>
  </si>
  <si>
    <t>McGee</t>
  </si>
  <si>
    <t>amy.mcgee@hmrc.gov.uk</t>
  </si>
  <si>
    <t>Trust Statements</t>
  </si>
  <si>
    <t>Ollie</t>
  </si>
  <si>
    <t>ollie.lamb@hmtreasury.gov.uk</t>
  </si>
  <si>
    <t>Head of Financial Accounts and Reporting</t>
  </si>
  <si>
    <t>Khaliq</t>
  </si>
  <si>
    <t>Tau</t>
  </si>
  <si>
    <t>tauhid.khaliq@hmtreasury.gov.uk</t>
  </si>
  <si>
    <t>Financial Accounting Team</t>
  </si>
  <si>
    <t>Collins</t>
  </si>
  <si>
    <t>thomas.collins@hmtreasury.gov.uk</t>
  </si>
  <si>
    <t>Senior Policy Advisor</t>
  </si>
  <si>
    <t>Balance Sheet Team</t>
  </si>
  <si>
    <t>Halliday</t>
  </si>
  <si>
    <t>Olivia</t>
  </si>
  <si>
    <t>olivia.halliday@hmtreasury.gov.uk</t>
  </si>
  <si>
    <t>Butcher</t>
  </si>
  <si>
    <t>paul.butcher@gad.gov.uk</t>
  </si>
  <si>
    <t>michael.dickson@hmtreasury.gov.uk</t>
  </si>
  <si>
    <t>Chander</t>
  </si>
  <si>
    <t>Sudesh</t>
  </si>
  <si>
    <t>sudesh.chander@hmtreasury.gov.uk</t>
  </si>
  <si>
    <t>Bull</t>
  </si>
  <si>
    <t>chris.bull@gad.gov.uk</t>
  </si>
  <si>
    <t>Naqvi</t>
  </si>
  <si>
    <t>Qasim</t>
  </si>
  <si>
    <t>qasim.naqvi@nationalwealthfund.org.uk</t>
  </si>
  <si>
    <t>Financial Control</t>
  </si>
  <si>
    <t>National Wealth Fund</t>
  </si>
  <si>
    <t>Deborah</t>
  </si>
  <si>
    <t>deborah.wood@nationalwealthfund.org.uk</t>
  </si>
  <si>
    <t>Aylah</t>
  </si>
  <si>
    <t>aylah.khan@homeoffice.gov.uk</t>
  </si>
  <si>
    <t>Treasury Reporting Officer</t>
  </si>
  <si>
    <t>Estimates Team</t>
  </si>
  <si>
    <t>Avis</t>
  </si>
  <si>
    <t>Christine</t>
  </si>
  <si>
    <t>christine.collins4@homeoffice.gov.uk</t>
  </si>
  <si>
    <t>Goodacre</t>
  </si>
  <si>
    <t>mark.goodacre@homeoffice.gov.uk</t>
  </si>
  <si>
    <t>Inbox</t>
  </si>
  <si>
    <t>Shared</t>
  </si>
  <si>
    <t>hoestgimatesteam@homeoffice.gov.uk</t>
  </si>
  <si>
    <t>Shared Inbox</t>
  </si>
  <si>
    <t>Santhosh-Kumar</t>
  </si>
  <si>
    <t>Jaya</t>
  </si>
  <si>
    <t>jaya.santhosh-kumar@homeoffice.gov.uk</t>
  </si>
  <si>
    <t>jack.sharples@homeoffice.gov.uk</t>
  </si>
  <si>
    <t>Head of Financial Reporting Team</t>
  </si>
  <si>
    <t>Greenwood</t>
  </si>
  <si>
    <t>thomas.greenwood1@homeoffice.gov.uk</t>
  </si>
  <si>
    <t>Keenan</t>
  </si>
  <si>
    <t>david.keenan@levellingup.gov.uk</t>
  </si>
  <si>
    <t>Oyedeji</t>
  </si>
  <si>
    <t>Rachael</t>
  </si>
  <si>
    <t>racel.oyedeji@levellingup.gov.uk</t>
  </si>
  <si>
    <t>helen.ward@levellingup.gov.uk</t>
  </si>
  <si>
    <t>Holgersson</t>
  </si>
  <si>
    <t>Gillis</t>
  </si>
  <si>
    <t>gillis.holgersson@levellingup.gov.uk</t>
  </si>
  <si>
    <t>jonathan.smart@levellingup.gov.uk</t>
  </si>
  <si>
    <t>Bennett</t>
  </si>
  <si>
    <t>Dominic</t>
  </si>
  <si>
    <t>dominic.bennett@levellingup.gov.uk</t>
  </si>
  <si>
    <t>Hollows</t>
  </si>
  <si>
    <t>Naomi</t>
  </si>
  <si>
    <t>naomi.hollows@levellingup.gov.uk</t>
  </si>
  <si>
    <t>Bains</t>
  </si>
  <si>
    <t>Raj</t>
  </si>
  <si>
    <t>raj.bains@levellingup.gov.uk</t>
  </si>
  <si>
    <t>Boulter</t>
  </si>
  <si>
    <t>thomas.boulter@levellingup.gov.uk</t>
  </si>
  <si>
    <t>Short</t>
  </si>
  <si>
    <t>simon.short@homesengland.gov.uk</t>
  </si>
  <si>
    <t>Head of Data &amp; Analytics Team</t>
  </si>
  <si>
    <t>Data &amp; Analytics Team</t>
  </si>
  <si>
    <t>giles.thomas@homesengland.gov.uk</t>
  </si>
  <si>
    <t>Head of Guarantees</t>
  </si>
  <si>
    <t>Carrier</t>
  </si>
  <si>
    <t>michelle.carrier@homesengland.gov.uk</t>
  </si>
  <si>
    <t>Ben</t>
  </si>
  <si>
    <t>ben.johnson@ssro.gov.uk</t>
  </si>
  <si>
    <t>Watkins</t>
  </si>
  <si>
    <t>matthew.watkins620@mod.gov.uk</t>
  </si>
  <si>
    <t>Liabilities</t>
  </si>
  <si>
    <t>Contingent</t>
  </si>
  <si>
    <t>OperationalFin-FMPA-ContLiabs@mod.gov.uk</t>
  </si>
  <si>
    <t>Contingent Liabilities Inbox</t>
  </si>
  <si>
    <t>richard.williams191@mod.gov.uk</t>
  </si>
  <si>
    <t>Arruda</t>
  </si>
  <si>
    <t>vanessa.arruda329@mod.gov.uk</t>
  </si>
  <si>
    <t>Koc</t>
  </si>
  <si>
    <t>Veli</t>
  </si>
  <si>
    <t>veli.koc@ssro.gov.uk</t>
  </si>
  <si>
    <t>Cullen</t>
  </si>
  <si>
    <t>alison.cullen103@mod.gov.uk</t>
  </si>
  <si>
    <t>Coombes</t>
  </si>
  <si>
    <t>Adina</t>
  </si>
  <si>
    <t>adina.coombes698@mod.gov.uk</t>
  </si>
  <si>
    <t>Equity and Loans</t>
  </si>
  <si>
    <t>Inward</t>
  </si>
  <si>
    <t>philip.inward753@mod.gov.uk</t>
  </si>
  <si>
    <t>Grant</t>
  </si>
  <si>
    <t>amanda.grant@justice.gov.uk</t>
  </si>
  <si>
    <t>Demurtas</t>
  </si>
  <si>
    <t>Federica</t>
  </si>
  <si>
    <t>Totten</t>
  </si>
  <si>
    <t>Carly</t>
  </si>
  <si>
    <t>carly-jane.totten@justice.gov.uk</t>
  </si>
  <si>
    <t>Scholes</t>
  </si>
  <si>
    <t>lisa.scholes@justice.gov.uk</t>
  </si>
  <si>
    <t>Glenda</t>
  </si>
  <si>
    <t>glenda.roberts@justice.gov.uk</t>
  </si>
  <si>
    <t>Insight</t>
  </si>
  <si>
    <t>Generalised Business</t>
  </si>
  <si>
    <t>BusinessInsightCentre@ukexportfinance.gov.uk</t>
  </si>
  <si>
    <t>Business Insight Centre Inbox</t>
  </si>
  <si>
    <t>Business Insight</t>
  </si>
  <si>
    <t>Hassan</t>
  </si>
  <si>
    <t>Mohammad</t>
  </si>
  <si>
    <t>Valsamidis</t>
  </si>
  <si>
    <t>Dimitrios</t>
  </si>
  <si>
    <t>dimitrios.valsamidis@ukexportfinance.gov.uk</t>
  </si>
  <si>
    <t>Head of Operational Research and Analysis</t>
  </si>
  <si>
    <t>Forster</t>
  </si>
  <si>
    <t>hannah.forster@ukexportfinance.gov.uk</t>
  </si>
  <si>
    <t>Lotay</t>
  </si>
  <si>
    <t>Amar</t>
  </si>
  <si>
    <t>amar.lotay@ukexportfinance.gov.uk</t>
  </si>
  <si>
    <t>Christensson</t>
  </si>
  <si>
    <t>Mattias</t>
  </si>
  <si>
    <t>mattias.christensson@ukexportfinance.gov.uk</t>
  </si>
  <si>
    <t>Head of Pricing and Portfolio Risk</t>
  </si>
  <si>
    <t>Dwyer</t>
  </si>
  <si>
    <t>Traicey</t>
  </si>
  <si>
    <t>traicey.dwyer@ukexportfinance.gov.uk</t>
  </si>
  <si>
    <t>Senior Operational Research Analyst</t>
  </si>
  <si>
    <t>Steve</t>
  </si>
  <si>
    <t>steve.butcher@ukexportfinance.gov.uk</t>
  </si>
  <si>
    <t>McQuade</t>
  </si>
  <si>
    <t>Joe</t>
  </si>
  <si>
    <t>joseph.mcquade@energysecurity.gov.uk</t>
  </si>
  <si>
    <t>Assistant Head of Financial Accounting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</si>
</sst>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u/>
      <sz val="11"/>
      <color theme="10"/>
      <name val="Aptos Narrow"/>
      <family val="2"/>
      <scheme val="minor"/>
    </font>
    <font>
      <sz val="10"/>
      <color theme="1"/>
      <name val="Arial"/>
    </font>
    <font>
      <sz val="10"/>
      <color rgb="FF000000"/>
      <name val="Arial"/>
    </font>
    <font>
      <u/>
      <sz val="10"/>
      <color theme="10"/>
      <name val="Arial"/>
    </font>
    <font>
      <b/>
      <sz val="10"/>
      <color theme="0"/>
      <name val="Arial"/>
    </font>
    <font>
      <b/>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2">
    <xf numFmtId="0" fontId="0" fillId="0" borderId="0" xfId="0"/>
    <xf numFmtId="0" fontId="2" fillId="0" borderId="0" xfId="0" applyFont="1"/>
    <xf numFmtId="0" fontId="3" fillId="0" borderId="0" xfId="0" applyFont="1" applyAlignment="1">
      <alignment wrapText="1"/>
    </xf>
    <xf numFmtId="0" fontId="4" fillId="0" borderId="0" xfId="1" applyFont="1" applyFill="1" applyBorder="1" applyAlignment="1">
      <alignment wrapText="1"/>
    </xf>
    <xf numFmtId="0" fontId="3" fillId="0" borderId="0" xfId="0" applyFont="1"/>
    <xf numFmtId="0" fontId="2" fillId="0" borderId="0" xfId="0" applyFont="1" applyAlignment="1">
      <alignment wrapText="1"/>
    </xf>
    <xf numFmtId="0" fontId="4" fillId="0" borderId="0" xfId="1" applyFont="1" applyAlignment="1">
      <alignment wrapText="1"/>
    </xf>
    <xf numFmtId="0" fontId="4" fillId="0" borderId="0" xfId="1" applyFont="1" applyFill="1" applyBorder="1" applyAlignment="1"/>
    <xf numFmtId="0" fontId="5" fillId="0" borderId="0" xfId="0" applyFont="1" applyAlignment="1">
      <alignment wrapText="1"/>
    </xf>
    <xf numFmtId="0" fontId="5" fillId="0" borderId="0" xfId="0" applyFont="1"/>
    <xf numFmtId="0" fontId="6" fillId="0" borderId="0" xfId="0" applyFont="1"/>
    <xf numFmtId="0" fontId="0" fillId="0" borderId="0" xfId="0" applyAlignment="1">
      <alignment vertical="center"/>
    </xf>
  </cellXfs>
  <cellStyles count="2">
    <cellStyle name="Hyperlink" xfId="1" builtinId="8"/>
    <cellStyle name="Normal" xfId="0" builtinId="0"/>
  </cellStyles>
  <dxfs count="19">
    <dxf>
      <font>
        <color rgb="FF9C0006"/>
      </font>
      <fill>
        <patternFill>
          <bgColor rgb="FFFFC7CE"/>
        </patternFill>
      </fill>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none"/>
      </font>
    </dxf>
    <dxf>
      <font>
        <b val="0"/>
        <i val="0"/>
        <strike val="0"/>
        <condense val="0"/>
        <extend val="0"/>
        <outline val="0"/>
        <shadow val="0"/>
        <u/>
        <vertAlign val="baseline"/>
        <sz val="10"/>
        <color theme="10"/>
        <name val="Arial"/>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i val="0"/>
        <strike val="0"/>
        <condense val="0"/>
        <extend val="0"/>
        <outline val="0"/>
        <shadow val="0"/>
        <u val="none"/>
        <vertAlign val="baseline"/>
        <sz val="10"/>
        <color theme="0"/>
        <name val="Arial"/>
        <scheme val="none"/>
      </font>
      <alignment horizontal="general" vertical="bottom" textRotation="0" wrapText="1"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E88E46-FC27-4E9D-8158-DBB01F8DD1E6}" name="Table1" displayName="Table1" ref="A1:P866" totalsRowShown="0" headerRowDxfId="18" dataDxfId="17">
  <autoFilter ref="A1:P866" xr:uid="{72E88E46-FC27-4E9D-8158-DBB01F8DD1E6}">
    <filterColumn colId="3">
      <filters>
        <filter val="Permanent Secretary/CEO"/>
      </filters>
    </filterColumn>
  </autoFilter>
  <sortState xmlns:xlrd2="http://schemas.microsoft.com/office/spreadsheetml/2017/richdata2" ref="A2:O795">
    <sortCondition ref="B1:B795"/>
  </sortState>
  <tableColumns count="16">
    <tableColumn id="1" xr3:uid="{CF0D2668-E47A-45BD-BE58-023C37DC787F}" name="Departmental Contact Surname" dataDxfId="16"/>
    <tableColumn id="2" xr3:uid="{78A1B81D-A999-45B3-8A56-7EFE4CA1675B}" name="Departmental Contact Forename(s)" dataDxfId="15"/>
    <tableColumn id="3" xr3:uid="{68605C54-C35A-4F01-B5C3-6D1FFD16B33C}" name="Departmental Contact Email Address" dataDxfId="14" dataCellStyle="Hyperlink"/>
    <tableColumn id="4" xr3:uid="{8DF689DB-33FE-4160-A948-0DB93A07EEC7}" name="Grade Equivalent" dataDxfId="13"/>
    <tableColumn id="5" xr3:uid="{5149A4EA-F303-4DC5-8B09-2907A218F184}" name="Job Title" dataDxfId="12"/>
    <tableColumn id="6" xr3:uid="{F2417E16-C06F-4B3B-BD17-8C3B92DE40F9}" name="Job/Team Function" dataDxfId="11"/>
    <tableColumn id="7" xr3:uid="{61EE9C77-47DC-4284-8425-8ECAE742F984}" name="Parent Department" dataDxfId="10"/>
    <tableColumn id="8" xr3:uid="{F6423958-BF34-4F45-8DAF-AC4E965D8405}" name="Organisation" dataDxfId="9"/>
    <tableColumn id="9" xr3:uid="{3829D30E-91E5-430E-BD41-DF4B362E4CDF}" name="Lead UKGI Contact Surname" dataDxfId="8"/>
    <tableColumn id="10" xr3:uid="{060712B8-E007-48CF-8F2E-F5EC772A4FF3}" name="Lead UKGI Contact Forename" dataDxfId="7"/>
    <tableColumn id="11" xr3:uid="{2CA2F4E5-EBD6-4E6A-893C-E91B35021941}" name="Lead UKGI Contact Email Address" dataDxfId="6">
      <calculatedColumnFormula>CONCATENATE(Table1[[#This Row],[Lead UKGI Contact Forename]],".",Table1[[#This Row],[Lead UKGI Contact Surname]],"@ukgi.org.uk")</calculatedColumnFormula>
    </tableColumn>
    <tableColumn id="12" xr3:uid="{C150C785-D4AE-4E04-B045-AA467B862452}" name="Relationship Status" dataDxfId="5"/>
    <tableColumn id="13" xr3:uid="{8E8F7340-C33C-45FF-80EB-F296262EA4D4}" name="Contact Status" dataDxfId="4"/>
    <tableColumn id="14" xr3:uid="{F2B8F0F7-8EB5-45DD-9127-25B4395C6019}" name="Priority Level" dataDxfId="3"/>
    <tableColumn id="15" xr3:uid="{F555F344-7C11-4AD4-ADDA-78BDF601286C}" name="Frequency" dataDxfId="2"/>
    <tableColumn id="16" xr3:uid="{CFAFEFE3-C004-4B59-86D5-F8B8644A8600}" name="Notes" dataDxfId="1"/>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6" Type="http://schemas.openxmlformats.org/officeDocument/2006/relationships/hyperlink" Target="mailto:brad.langton@energysecurity.gov.uk" TargetMode="External"/><Relationship Id="rId21" Type="http://schemas.openxmlformats.org/officeDocument/2006/relationships/hyperlink" Target="mailto:graeme.utting@dcms.gov.uk" TargetMode="External"/><Relationship Id="rId42" Type="http://schemas.openxmlformats.org/officeDocument/2006/relationships/hyperlink" Target="mailto:david.bedford@education.gov.uk" TargetMode="External"/><Relationship Id="rId47" Type="http://schemas.openxmlformats.org/officeDocument/2006/relationships/hyperlink" Target="mailto:elizabeth.dobson@dft.gov.uk" TargetMode="External"/><Relationship Id="rId63" Type="http://schemas.openxmlformats.org/officeDocument/2006/relationships/hyperlink" Target="mailto:jack.flanagan@dsit.gov.uk" TargetMode="External"/><Relationship Id="rId68" Type="http://schemas.openxmlformats.org/officeDocument/2006/relationships/hyperlink" Target="mailto:chris.edward@dwp.gov.uk" TargetMode="External"/><Relationship Id="rId2" Type="http://schemas.openxmlformats.org/officeDocument/2006/relationships/hyperlink" Target="mailto:sam.beckett@hmtreasury.gov.uk" TargetMode="External"/><Relationship Id="rId16" Type="http://schemas.openxmlformats.org/officeDocument/2006/relationships/hyperlink" Target="mailto:eddie.brophy@businessandtrade.gov.uk" TargetMode="External"/><Relationship Id="rId29" Type="http://schemas.openxmlformats.org/officeDocument/2006/relationships/hyperlink" Target="mailto:laura.swinton@energysecurity.gov.uk" TargetMode="External"/><Relationship Id="rId11" Type="http://schemas.openxmlformats.org/officeDocument/2006/relationships/hyperlink" Target="mailto:darren.vanning2@businessandtrade.gov.uk" TargetMode="External"/><Relationship Id="rId24" Type="http://schemas.openxmlformats.org/officeDocument/2006/relationships/hyperlink" Target="mailto:emma.preston@energysecurity.gov.uk" TargetMode="External"/><Relationship Id="rId32" Type="http://schemas.openxmlformats.org/officeDocument/2006/relationships/hyperlink" Target="mailto:ester.chick@energysecurity.gov.uk" TargetMode="External"/><Relationship Id="rId37" Type="http://schemas.openxmlformats.org/officeDocument/2006/relationships/hyperlink" Target="mailto:ola.nightingale@education.gov.uk" TargetMode="External"/><Relationship Id="rId40" Type="http://schemas.openxmlformats.org/officeDocument/2006/relationships/hyperlink" Target="mailto:duncan.renshaw@education.gov.uk" TargetMode="External"/><Relationship Id="rId45" Type="http://schemas.openxmlformats.org/officeDocument/2006/relationships/hyperlink" Target="mailto:lyndsey.argument@ofsted.gov.uk" TargetMode="External"/><Relationship Id="rId53" Type="http://schemas.openxmlformats.org/officeDocument/2006/relationships/hyperlink" Target="mailto:heather.darkin@dhsc.gov.uk" TargetMode="External"/><Relationship Id="rId58" Type="http://schemas.openxmlformats.org/officeDocument/2006/relationships/hyperlink" Target="mailto:jamie.horne@dhsc.gov.uk" TargetMode="External"/><Relationship Id="rId66" Type="http://schemas.openxmlformats.org/officeDocument/2006/relationships/hyperlink" Target="mailto:josh.fielding@dsit.gov.uk" TargetMode="External"/><Relationship Id="rId74" Type="http://schemas.openxmlformats.org/officeDocument/2006/relationships/hyperlink" Target="mailto:daniel.earle@hmtreasury.gov.uk" TargetMode="External"/><Relationship Id="rId5" Type="http://schemas.openxmlformats.org/officeDocument/2006/relationships/hyperlink" Target="mailto:luke.jagger@businessandtrade.gov.uk" TargetMode="External"/><Relationship Id="rId61" Type="http://schemas.openxmlformats.org/officeDocument/2006/relationships/hyperlink" Target="mailto:jennifer.lou@dsit.gov.uk" TargetMode="External"/><Relationship Id="rId19" Type="http://schemas.openxmlformats.org/officeDocument/2006/relationships/hyperlink" Target="mailto:thomas.spillman@dcms.gov.uk" TargetMode="External"/><Relationship Id="rId14" Type="http://schemas.openxmlformats.org/officeDocument/2006/relationships/hyperlink" Target="mailto:matthew.brown5@businessandtrade.gov.uk" TargetMode="External"/><Relationship Id="rId22" Type="http://schemas.openxmlformats.org/officeDocument/2006/relationships/hyperlink" Target="mailto:liam.ford@dcms.gov.uk" TargetMode="External"/><Relationship Id="rId27" Type="http://schemas.openxmlformats.org/officeDocument/2006/relationships/hyperlink" Target="mailto:andre.vassilev@energysecurity.gov.uk" TargetMode="External"/><Relationship Id="rId30" Type="http://schemas.openxmlformats.org/officeDocument/2006/relationships/hyperlink" Target="mailto:gregory.kingman@energysecurity.gov.uk" TargetMode="External"/><Relationship Id="rId35" Type="http://schemas.openxmlformats.org/officeDocument/2006/relationships/hyperlink" Target="mailto:anna.colley@education.gov.uk" TargetMode="External"/><Relationship Id="rId43" Type="http://schemas.openxmlformats.org/officeDocument/2006/relationships/hyperlink" Target="mailto:christopher.steiger@education.gov.uk" TargetMode="External"/><Relationship Id="rId48" Type="http://schemas.openxmlformats.org/officeDocument/2006/relationships/hyperlink" Target="mailto:ara.daniel@dft.gov.uk" TargetMode="External"/><Relationship Id="rId56" Type="http://schemas.openxmlformats.org/officeDocument/2006/relationships/hyperlink" Target="mailto:jayesh.patel@dhsc.gov.uk" TargetMode="External"/><Relationship Id="rId64" Type="http://schemas.openxmlformats.org/officeDocument/2006/relationships/hyperlink" Target="mailto:peter.mclachlan2@dsit.gov.uk" TargetMode="External"/><Relationship Id="rId69" Type="http://schemas.openxmlformats.org/officeDocument/2006/relationships/hyperlink" Target="mailto:emily.scott-rattray@dwp.gov.uk" TargetMode="External"/><Relationship Id="rId8" Type="http://schemas.openxmlformats.org/officeDocument/2006/relationships/hyperlink" Target="mailto:sabah.iqbal@businessandtrade.gov.uk" TargetMode="External"/><Relationship Id="rId51" Type="http://schemas.openxmlformats.org/officeDocument/2006/relationships/hyperlink" Target="mailto:nilesh.tailor@dft.gov.uk" TargetMode="External"/><Relationship Id="rId72" Type="http://schemas.openxmlformats.org/officeDocument/2006/relationships/hyperlink" Target="mailto:daniel.earle@hmtreasury.gov.uk" TargetMode="External"/><Relationship Id="rId3" Type="http://schemas.openxmlformats.org/officeDocument/2006/relationships/hyperlink" Target="mailto:daniel.earle@hmtreasury.gov.uk" TargetMode="External"/><Relationship Id="rId12" Type="http://schemas.openxmlformats.org/officeDocument/2006/relationships/hyperlink" Target="mailto:mike.king3@businessandtrade.gov.uk" TargetMode="External"/><Relationship Id="rId17" Type="http://schemas.openxmlformats.org/officeDocument/2006/relationships/hyperlink" Target="mailto:dzenana.hurem@businessandtrade.gov.uk" TargetMode="External"/><Relationship Id="rId25" Type="http://schemas.openxmlformats.org/officeDocument/2006/relationships/hyperlink" Target="mailto:emma.slater@energysecurity.gov.uk" TargetMode="External"/><Relationship Id="rId33" Type="http://schemas.openxmlformats.org/officeDocument/2006/relationships/hyperlink" Target="mailto:andrew.ashurst@education.gov.uk" TargetMode="External"/><Relationship Id="rId38" Type="http://schemas.openxmlformats.org/officeDocument/2006/relationships/hyperlink" Target="mailto:paul.flynn@education.gov.uk" TargetMode="External"/><Relationship Id="rId46" Type="http://schemas.openxmlformats.org/officeDocument/2006/relationships/hyperlink" Target="mailto:murray.naish@ofqual.gov.uk" TargetMode="External"/><Relationship Id="rId59" Type="http://schemas.openxmlformats.org/officeDocument/2006/relationships/hyperlink" Target="mailto:hettie.frizelle@dhsc.gov.uk" TargetMode="External"/><Relationship Id="rId67" Type="http://schemas.openxmlformats.org/officeDocument/2006/relationships/hyperlink" Target="mailto:gary.burns@dwp.gov.uk" TargetMode="External"/><Relationship Id="rId20" Type="http://schemas.openxmlformats.org/officeDocument/2006/relationships/hyperlink" Target="mailto:louise.roberts@dcms.gov.uk" TargetMode="External"/><Relationship Id="rId41" Type="http://schemas.openxmlformats.org/officeDocument/2006/relationships/hyperlink" Target="mailto:sue.reeve@education.gov.uk" TargetMode="External"/><Relationship Id="rId54" Type="http://schemas.openxmlformats.org/officeDocument/2006/relationships/hyperlink" Target="mailto:rob.white@dhsc.gov.uk" TargetMode="External"/><Relationship Id="rId62" Type="http://schemas.openxmlformats.org/officeDocument/2006/relationships/hyperlink" Target="mailto:sally.king@dsit.gov.uk" TargetMode="External"/><Relationship Id="rId70" Type="http://schemas.openxmlformats.org/officeDocument/2006/relationships/hyperlink" Target="mailto:stacey.fairfax-price1@dwp.gov.uk" TargetMode="External"/><Relationship Id="rId75" Type="http://schemas.openxmlformats.org/officeDocument/2006/relationships/hyperlink" Target="mailto:daniel.earle@hmtreasury.gov.uk" TargetMode="External"/><Relationship Id="rId1" Type="http://schemas.openxmlformats.org/officeDocument/2006/relationships/hyperlink" Target="mailto:james.bowler@hmtreasury.gov.uk" TargetMode="External"/><Relationship Id="rId6" Type="http://schemas.openxmlformats.org/officeDocument/2006/relationships/hyperlink" Target="mailto:peter.brown@british-business-bank.co.uk" TargetMode="External"/><Relationship Id="rId15" Type="http://schemas.openxmlformats.org/officeDocument/2006/relationships/hyperlink" Target="mailto:michael.shields@businessandtrade.gov.uk" TargetMode="External"/><Relationship Id="rId23" Type="http://schemas.openxmlformats.org/officeDocument/2006/relationships/hyperlink" Target="mailto:david.ella@defra.gov.uk" TargetMode="External"/><Relationship Id="rId28" Type="http://schemas.openxmlformats.org/officeDocument/2006/relationships/hyperlink" Target="mailto:huw.stephens@hmtreasury.gov.uk" TargetMode="External"/><Relationship Id="rId36" Type="http://schemas.openxmlformats.org/officeDocument/2006/relationships/hyperlink" Target="mailto:andrew.don@education.gov.uk" TargetMode="External"/><Relationship Id="rId49" Type="http://schemas.openxmlformats.org/officeDocument/2006/relationships/hyperlink" Target="mailto:daniel.flynn@dft.gov.uk" TargetMode="External"/><Relationship Id="rId57" Type="http://schemas.openxmlformats.org/officeDocument/2006/relationships/hyperlink" Target="mailto:sophie.cook@dhsc.gov.uk" TargetMode="External"/><Relationship Id="rId10" Type="http://schemas.openxmlformats.org/officeDocument/2006/relationships/hyperlink" Target="mailto:mananchaya.chomparesert@businessandtrade.gov.uk" TargetMode="External"/><Relationship Id="rId31" Type="http://schemas.openxmlformats.org/officeDocument/2006/relationships/hyperlink" Target="mailto:syed.maghrabi@energysecurity.gov.uk" TargetMode="External"/><Relationship Id="rId44" Type="http://schemas.openxmlformats.org/officeDocument/2006/relationships/hyperlink" Target="mailto:louise.grainger@ofsted.gov.uk" TargetMode="External"/><Relationship Id="rId52" Type="http://schemas.openxmlformats.org/officeDocument/2006/relationships/hyperlink" Target="mailto:adam.griffiths@dhsc.gov.uk" TargetMode="External"/><Relationship Id="rId60" Type="http://schemas.openxmlformats.org/officeDocument/2006/relationships/hyperlink" Target="mailto:najiya.pary@dhsc.gov.uk" TargetMode="External"/><Relationship Id="rId65" Type="http://schemas.openxmlformats.org/officeDocument/2006/relationships/hyperlink" Target="mailto:katy.leville@dsit.gov.uk" TargetMode="External"/><Relationship Id="rId73" Type="http://schemas.openxmlformats.org/officeDocument/2006/relationships/hyperlink" Target="mailto:daniel.earle@hmtreasury.gov.uk" TargetMode="External"/><Relationship Id="rId4" Type="http://schemas.openxmlformats.org/officeDocument/2006/relationships/hyperlink" Target="mailto:tanya.hughes@hmtreasury.gov.uk" TargetMode="External"/><Relationship Id="rId9" Type="http://schemas.openxmlformats.org/officeDocument/2006/relationships/hyperlink" Target="mailto:steven.wareing@businessandtrade.gov.uk" TargetMode="External"/><Relationship Id="rId13" Type="http://schemas.openxmlformats.org/officeDocument/2006/relationships/hyperlink" Target="mailto:richard.white@businessandtrade.gov.uk" TargetMode="External"/><Relationship Id="rId18" Type="http://schemas.openxmlformats.org/officeDocument/2006/relationships/hyperlink" Target="mailto:richard.wood@businessandtrade.gov.uk" TargetMode="External"/><Relationship Id="rId39" Type="http://schemas.openxmlformats.org/officeDocument/2006/relationships/hyperlink" Target="mailto:jennifer.griffiths@education.gov.uk" TargetMode="External"/><Relationship Id="rId34" Type="http://schemas.openxmlformats.org/officeDocument/2006/relationships/hyperlink" Target="mailto:christopher.wright@education.gov.uk" TargetMode="External"/><Relationship Id="rId50" Type="http://schemas.openxmlformats.org/officeDocument/2006/relationships/hyperlink" Target="mailto:cassie.magee@dft.gov.uk" TargetMode="External"/><Relationship Id="rId55" Type="http://schemas.openxmlformats.org/officeDocument/2006/relationships/hyperlink" Target="mailto:hannah.stout@dhsc.gov.uk" TargetMode="External"/><Relationship Id="rId76" Type="http://schemas.openxmlformats.org/officeDocument/2006/relationships/table" Target="../tables/table1.xml"/><Relationship Id="rId7" Type="http://schemas.openxmlformats.org/officeDocument/2006/relationships/hyperlink" Target="mailto:david.dean@british-business-bank.co.uk" TargetMode="External"/><Relationship Id="rId71" Type="http://schemas.openxmlformats.org/officeDocument/2006/relationships/hyperlink" Target="mailto:stuart.rowley-vines@dwp.gov.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57359-B5CE-4944-97FC-60490987AA77}">
  <dimension ref="A1:C17"/>
  <sheetViews>
    <sheetView workbookViewId="0">
      <selection activeCell="A2" sqref="A2:A16"/>
    </sheetView>
  </sheetViews>
  <sheetFormatPr defaultRowHeight="15" x14ac:dyDescent="0.25"/>
  <cols>
    <col min="1" max="2" width="37.140625" customWidth="1"/>
    <col min="3" max="3" width="26.140625" customWidth="1"/>
  </cols>
  <sheetData>
    <row r="1" spans="1:3" x14ac:dyDescent="0.25">
      <c r="A1" s="10" t="s">
        <v>0</v>
      </c>
      <c r="B1" s="10" t="s">
        <v>1</v>
      </c>
      <c r="C1" s="10" t="s">
        <v>2</v>
      </c>
    </row>
    <row r="2" spans="1:3" x14ac:dyDescent="0.25">
      <c r="A2" t="str" cm="1">
        <f t="array" ref="A2:A17">TRANSPOSE(Table1[#Headers])</f>
        <v>Departmental Contact Surname</v>
      </c>
      <c r="B2" t="s">
        <v>3</v>
      </c>
    </row>
    <row r="3" spans="1:3" x14ac:dyDescent="0.25">
      <c r="A3" t="str">
        <v>Departmental Contact Forename(s)</v>
      </c>
      <c r="B3" t="s">
        <v>3</v>
      </c>
    </row>
    <row r="4" spans="1:3" x14ac:dyDescent="0.25">
      <c r="A4" t="str">
        <v>Departmental Contact Email Address</v>
      </c>
      <c r="C4" t="s">
        <v>4</v>
      </c>
    </row>
    <row r="5" spans="1:3" x14ac:dyDescent="0.25">
      <c r="A5" t="str">
        <v>Grade Equivalent</v>
      </c>
      <c r="B5" t="s">
        <v>5</v>
      </c>
    </row>
    <row r="6" spans="1:3" x14ac:dyDescent="0.25">
      <c r="A6" t="str">
        <v>Job Title</v>
      </c>
      <c r="B6" t="s">
        <v>6</v>
      </c>
    </row>
    <row r="7" spans="1:3" x14ac:dyDescent="0.25">
      <c r="A7" t="str">
        <v>Job/Team Function</v>
      </c>
      <c r="B7" t="s">
        <v>3</v>
      </c>
    </row>
    <row r="8" spans="1:3" x14ac:dyDescent="0.25">
      <c r="A8" t="str">
        <v>Parent Department</v>
      </c>
      <c r="B8" t="s">
        <v>5</v>
      </c>
    </row>
    <row r="9" spans="1:3" x14ac:dyDescent="0.25">
      <c r="A9" t="str">
        <v>Organisation</v>
      </c>
      <c r="B9" t="s">
        <v>5</v>
      </c>
    </row>
    <row r="10" spans="1:3" x14ac:dyDescent="0.25">
      <c r="A10" t="str">
        <v>Lead UKGI Contact Surname</v>
      </c>
    </row>
    <row r="11" spans="1:3" x14ac:dyDescent="0.25">
      <c r="A11" t="str">
        <v>Lead UKGI Contact Forename</v>
      </c>
    </row>
    <row r="12" spans="1:3" x14ac:dyDescent="0.25">
      <c r="A12" t="str">
        <v>Lead UKGI Contact Email Address</v>
      </c>
      <c r="C12" t="s">
        <v>7</v>
      </c>
    </row>
    <row r="13" spans="1:3" x14ac:dyDescent="0.25">
      <c r="A13" t="str">
        <v>Relationship Status</v>
      </c>
      <c r="B13" t="s">
        <v>5</v>
      </c>
    </row>
    <row r="14" spans="1:3" x14ac:dyDescent="0.25">
      <c r="A14" t="str">
        <v>Contact Status</v>
      </c>
      <c r="B14" t="s">
        <v>5</v>
      </c>
    </row>
    <row r="15" spans="1:3" x14ac:dyDescent="0.25">
      <c r="A15" t="str">
        <v>Priority Level</v>
      </c>
      <c r="B15" t="s">
        <v>5</v>
      </c>
    </row>
    <row r="16" spans="1:3" x14ac:dyDescent="0.25">
      <c r="A16" t="str">
        <v>Frequency</v>
      </c>
      <c r="B16" t="s">
        <v>5</v>
      </c>
    </row>
    <row r="17" spans="1:1" x14ac:dyDescent="0.25">
      <c r="A17" t="str">
        <v>Notes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F0C31-9837-4A64-924B-F8AD039B5D31}">
  <dimension ref="A1:C5"/>
  <sheetViews>
    <sheetView workbookViewId="0"/>
  </sheetViews>
  <sheetFormatPr defaultRowHeight="15" x14ac:dyDescent="0.25"/>
  <cols>
    <col min="1" max="1" width="25" customWidth="1"/>
    <col min="2" max="2" width="56" customWidth="1"/>
  </cols>
  <sheetData>
    <row r="1" spans="1:3" x14ac:dyDescent="0.25">
      <c r="A1" t="s">
        <v>8</v>
      </c>
      <c r="B1" t="s">
        <v>9</v>
      </c>
    </row>
    <row r="2" spans="1:3" x14ac:dyDescent="0.25">
      <c r="A2" t="s">
        <v>10</v>
      </c>
      <c r="B2" t="s">
        <v>11</v>
      </c>
      <c r="C2" t="s">
        <v>12</v>
      </c>
    </row>
    <row r="3" spans="1:3" x14ac:dyDescent="0.25">
      <c r="A3" t="s">
        <v>13</v>
      </c>
      <c r="B3" t="s">
        <v>14</v>
      </c>
    </row>
    <row r="4" spans="1:3" x14ac:dyDescent="0.25">
      <c r="A4" t="s">
        <v>15</v>
      </c>
      <c r="B4" t="s">
        <v>16</v>
      </c>
    </row>
    <row r="5" spans="1:3" x14ac:dyDescent="0.25">
      <c r="A5" t="s">
        <v>17</v>
      </c>
      <c r="B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AC9A1-8209-4E8C-8BB0-D1D32E0DB51E}">
  <dimension ref="A1:P866"/>
  <sheetViews>
    <sheetView tabSelected="1" topLeftCell="H1" workbookViewId="0">
      <selection activeCell="P32" sqref="P32"/>
    </sheetView>
  </sheetViews>
  <sheetFormatPr defaultColWidth="9.140625" defaultRowHeight="12.75" x14ac:dyDescent="0.2"/>
  <cols>
    <col min="1" max="1" width="19.42578125" style="1" customWidth="1"/>
    <col min="2" max="2" width="21.42578125" style="1" customWidth="1"/>
    <col min="3" max="3" width="37" style="5" customWidth="1"/>
    <col min="4" max="4" width="30.28515625" style="1" customWidth="1"/>
    <col min="5" max="5" width="34.42578125" style="5" customWidth="1"/>
    <col min="6" max="6" width="44.85546875" style="5" customWidth="1"/>
    <col min="7" max="8" width="23.28515625" style="5" customWidth="1"/>
    <col min="9" max="9" width="24.5703125" style="1" customWidth="1"/>
    <col min="10" max="10" width="22" style="1" customWidth="1"/>
    <col min="11" max="11" width="27.7109375" style="1" customWidth="1"/>
    <col min="12" max="12" width="21" style="1" customWidth="1"/>
    <col min="13" max="13" width="18.28515625" style="1" customWidth="1"/>
    <col min="14" max="14" width="16.140625" style="1" customWidth="1"/>
    <col min="15" max="15" width="16.7109375" style="1" customWidth="1"/>
    <col min="16" max="16384" width="9.140625" style="1"/>
  </cols>
  <sheetData>
    <row r="1" spans="1:16" ht="38.25" customHeight="1" x14ac:dyDescent="0.2">
      <c r="A1" s="8" t="s">
        <v>19</v>
      </c>
      <c r="B1" s="8" t="s">
        <v>20</v>
      </c>
      <c r="C1" s="8" t="s">
        <v>21</v>
      </c>
      <c r="D1" s="9" t="s">
        <v>22</v>
      </c>
      <c r="E1" s="8" t="s">
        <v>23</v>
      </c>
      <c r="F1" s="8" t="s">
        <v>24</v>
      </c>
      <c r="G1" s="8" t="s">
        <v>25</v>
      </c>
      <c r="H1" s="8" t="s">
        <v>26</v>
      </c>
      <c r="I1" s="8" t="s">
        <v>27</v>
      </c>
      <c r="J1" s="8" t="s">
        <v>28</v>
      </c>
      <c r="K1" s="8" t="s">
        <v>29</v>
      </c>
      <c r="L1" s="8" t="s">
        <v>30</v>
      </c>
      <c r="M1" s="8" t="s">
        <v>31</v>
      </c>
      <c r="N1" s="9" t="s">
        <v>32</v>
      </c>
      <c r="O1" s="9" t="s">
        <v>33</v>
      </c>
      <c r="P1" s="8" t="s">
        <v>34</v>
      </c>
    </row>
    <row r="2" spans="1:16" hidden="1" x14ac:dyDescent="0.2">
      <c r="A2" s="2" t="s">
        <v>35</v>
      </c>
      <c r="B2" s="2" t="s">
        <v>36</v>
      </c>
      <c r="C2" s="3" t="str">
        <f>CONCATENATE(Table1[[#This Row],[Departmental Contact Forename(s)]],".",Table1[[#This Row],[Departmental Contact Surname]],"@hmtreasury.gov.uk")</f>
        <v>Daniel.Earle@hmtreasury.gov.uk</v>
      </c>
      <c r="D2" s="4" t="s">
        <v>37</v>
      </c>
      <c r="E2" s="2" t="s">
        <v>38</v>
      </c>
      <c r="F2" s="2" t="s">
        <v>39</v>
      </c>
      <c r="G2" s="5" t="s">
        <v>40</v>
      </c>
      <c r="H2" s="5" t="s">
        <v>40</v>
      </c>
      <c r="I2" s="5" t="s">
        <v>41</v>
      </c>
      <c r="J2" s="5" t="s">
        <v>42</v>
      </c>
      <c r="K2" s="5" t="str">
        <f>CONCATENATE(Table1[[#This Row],[Lead UKGI Contact Forename]],".",Table1[[#This Row],[Lead UKGI Contact Surname]],"@ukgi.org.uk")</f>
        <v>Elena.Ciallie@ukgi.org.uk</v>
      </c>
      <c r="L2" s="5"/>
      <c r="M2" s="5"/>
    </row>
    <row r="3" spans="1:16" hidden="1" x14ac:dyDescent="0.2">
      <c r="A3" s="2" t="s">
        <v>43</v>
      </c>
      <c r="B3" s="2" t="s">
        <v>44</v>
      </c>
      <c r="C3" s="3" t="str">
        <f>CONCATENATE(Table1[[#This Row],[Departmental Contact Forename(s)]],".",Table1[[#This Row],[Departmental Contact Surname]],"@hmtreasury.gov.uk")</f>
        <v>Neeraj.Patel@hmtreasury.gov.uk</v>
      </c>
      <c r="D3" s="1" t="s">
        <v>45</v>
      </c>
      <c r="E3" s="2" t="s">
        <v>46</v>
      </c>
      <c r="F3" s="2" t="s">
        <v>39</v>
      </c>
      <c r="G3" s="5" t="s">
        <v>40</v>
      </c>
      <c r="H3" s="5" t="s">
        <v>40</v>
      </c>
      <c r="I3" s="5"/>
      <c r="J3" s="5"/>
      <c r="K3" s="5" t="str">
        <f>CONCATENATE(Table1[[#This Row],[Lead UKGI Contact Forename]],".",Table1[[#This Row],[Lead UKGI Contact Surname]],"@ukgi.org.uk")</f>
        <v>.@ukgi.org.uk</v>
      </c>
      <c r="L3" s="5"/>
      <c r="M3" s="5"/>
    </row>
    <row r="4" spans="1:16" hidden="1" x14ac:dyDescent="0.2">
      <c r="A4" s="2" t="s">
        <v>47</v>
      </c>
      <c r="B4" s="2" t="s">
        <v>48</v>
      </c>
      <c r="C4" s="3" t="str">
        <f>CONCATENATE(Table1[[#This Row],[Departmental Contact Forename(s)]],".",Table1[[#This Row],[Departmental Contact Surname]],"@hmtreasury.gov.uk")</f>
        <v>Ruth.Kynoch@hmtreasury.gov.uk</v>
      </c>
      <c r="D4" s="1" t="s">
        <v>45</v>
      </c>
      <c r="E4" s="2" t="s">
        <v>49</v>
      </c>
      <c r="F4" s="2" t="s">
        <v>39</v>
      </c>
      <c r="G4" s="5" t="s">
        <v>40</v>
      </c>
      <c r="H4" s="5" t="s">
        <v>40</v>
      </c>
      <c r="I4" s="5"/>
      <c r="J4" s="5"/>
      <c r="K4" s="5" t="str">
        <f>CONCATENATE(Table1[[#This Row],[Lead UKGI Contact Forename]],".",Table1[[#This Row],[Lead UKGI Contact Surname]],"@ukgi.org.uk")</f>
        <v>.@ukgi.org.uk</v>
      </c>
      <c r="L4" s="5"/>
      <c r="M4" s="5"/>
    </row>
    <row r="5" spans="1:16" ht="25.5" hidden="1" x14ac:dyDescent="0.2">
      <c r="A5" s="1" t="s">
        <v>50</v>
      </c>
      <c r="B5" s="1" t="s">
        <v>51</v>
      </c>
      <c r="C5" s="3" t="str">
        <f>CONCATENATE(Table1[[#This Row],[Departmental Contact Forename(s)]],".",Table1[[#This Row],[Departmental Contact Surname]],"@hmtreasury.gov.uk")</f>
        <v>Andrew.Carter@hmtreasury.gov.uk</v>
      </c>
      <c r="D5" s="4" t="s">
        <v>37</v>
      </c>
      <c r="E5" s="5" t="s">
        <v>52</v>
      </c>
      <c r="F5" s="5" t="s">
        <v>53</v>
      </c>
      <c r="G5" s="5" t="s">
        <v>40</v>
      </c>
      <c r="H5" s="5" t="s">
        <v>40</v>
      </c>
      <c r="K5" s="5" t="str">
        <f>CONCATENATE(Table1[[#This Row],[Lead UKGI Contact Forename]],".",Table1[[#This Row],[Lead UKGI Contact Surname]],"@ukgi.org.uk")</f>
        <v>.@ukgi.org.uk</v>
      </c>
    </row>
    <row r="6" spans="1:16" hidden="1" x14ac:dyDescent="0.2">
      <c r="A6" s="2" t="s">
        <v>54</v>
      </c>
      <c r="B6" s="2" t="s">
        <v>55</v>
      </c>
      <c r="C6" s="3" t="str">
        <f>CONCATENATE(Table1[[#This Row],[Departmental Contact Forename(s)]],".",Table1[[#This Row],[Departmental Contact Surname]],"@hmtreasury.gov.uk")</f>
        <v>Sian.O'Mahony@hmtreasury.gov.uk</v>
      </c>
      <c r="D6" s="1" t="s">
        <v>45</v>
      </c>
      <c r="E6" s="2" t="s">
        <v>49</v>
      </c>
      <c r="F6" s="2" t="s">
        <v>39</v>
      </c>
      <c r="G6" s="5" t="s">
        <v>40</v>
      </c>
      <c r="H6" s="5" t="s">
        <v>40</v>
      </c>
      <c r="I6" s="5"/>
      <c r="J6" s="5"/>
      <c r="K6" s="5" t="str">
        <f>CONCATENATE(Table1[[#This Row],[Lead UKGI Contact Forename]],".",Table1[[#This Row],[Lead UKGI Contact Surname]],"@ukgi.org.uk")</f>
        <v>.@ukgi.org.uk</v>
      </c>
      <c r="L6" s="5"/>
      <c r="M6" s="5"/>
    </row>
    <row r="7" spans="1:16" hidden="1" x14ac:dyDescent="0.2">
      <c r="A7" s="2" t="s">
        <v>56</v>
      </c>
      <c r="B7" s="2" t="s">
        <v>57</v>
      </c>
      <c r="C7" s="3" t="str">
        <f>CONCATENATE(Table1[[#This Row],[Departmental Contact Forename(s)]],".",Table1[[#This Row],[Departmental Contact Surname]],"@hmtreasury.gov.uk")</f>
        <v>Hannah.Cooke@hmtreasury.gov.uk</v>
      </c>
      <c r="D7" s="1" t="s">
        <v>45</v>
      </c>
      <c r="E7" s="2" t="s">
        <v>46</v>
      </c>
      <c r="F7" s="2" t="s">
        <v>39</v>
      </c>
      <c r="G7" s="5" t="s">
        <v>40</v>
      </c>
      <c r="H7" s="5" t="s">
        <v>40</v>
      </c>
      <c r="I7" s="5"/>
      <c r="J7" s="5"/>
      <c r="K7" s="5" t="str">
        <f>CONCATENATE(Table1[[#This Row],[Lead UKGI Contact Forename]],".",Table1[[#This Row],[Lead UKGI Contact Surname]],"@ukgi.org.uk")</f>
        <v>.@ukgi.org.uk</v>
      </c>
      <c r="L7" s="5"/>
      <c r="M7" s="5"/>
    </row>
    <row r="8" spans="1:16" hidden="1" x14ac:dyDescent="0.2">
      <c r="A8" s="2" t="s">
        <v>58</v>
      </c>
      <c r="B8" s="2" t="s">
        <v>59</v>
      </c>
      <c r="C8" s="3" t="str">
        <f>CONCATENATE(Table1[[#This Row],[Departmental Contact Forename(s)]],".",Table1[[#This Row],[Departmental Contact Surname]],"@hmtreasury.gov.uk")</f>
        <v>Sam.Dickson@hmtreasury.gov.uk</v>
      </c>
      <c r="D8" s="4" t="s">
        <v>60</v>
      </c>
      <c r="E8" s="2" t="s">
        <v>61</v>
      </c>
      <c r="F8" s="2" t="s">
        <v>39</v>
      </c>
      <c r="G8" s="5" t="s">
        <v>40</v>
      </c>
      <c r="H8" s="5" t="s">
        <v>40</v>
      </c>
      <c r="I8" s="5"/>
      <c r="J8" s="5"/>
      <c r="K8" s="5" t="str">
        <f>CONCATENATE(Table1[[#This Row],[Lead UKGI Contact Forename]],".",Table1[[#This Row],[Lead UKGI Contact Surname]],"@ukgi.org.uk")</f>
        <v>.@ukgi.org.uk</v>
      </c>
      <c r="L8" s="5"/>
      <c r="M8" s="5"/>
    </row>
    <row r="9" spans="1:16" hidden="1" x14ac:dyDescent="0.2">
      <c r="A9" s="1" t="s">
        <v>62</v>
      </c>
      <c r="B9" s="1" t="s">
        <v>63</v>
      </c>
      <c r="C9" s="3" t="str">
        <f>CONCATENATE(Table1[[#This Row],[Departmental Contact Forename(s)]],".",Table1[[#This Row],[Departmental Contact Surname]],"@hmtreasury.gov.uk")</f>
        <v>Matthew.Cornford@hmtreasury.gov.uk</v>
      </c>
      <c r="D9" s="4" t="s">
        <v>37</v>
      </c>
      <c r="E9" s="5" t="s">
        <v>64</v>
      </c>
      <c r="F9" s="5" t="s">
        <v>65</v>
      </c>
      <c r="G9" s="5" t="s">
        <v>40</v>
      </c>
      <c r="H9" s="5" t="s">
        <v>40</v>
      </c>
      <c r="K9" s="5" t="str">
        <f>CONCATENATE(Table1[[#This Row],[Lead UKGI Contact Forename]],".",Table1[[#This Row],[Lead UKGI Contact Surname]],"@ukgi.org.uk")</f>
        <v>.@ukgi.org.uk</v>
      </c>
    </row>
    <row r="10" spans="1:16" hidden="1" x14ac:dyDescent="0.2">
      <c r="A10" s="2" t="s">
        <v>66</v>
      </c>
      <c r="B10" s="2" t="s">
        <v>67</v>
      </c>
      <c r="C10" s="3" t="str">
        <f>CONCATENATE(Table1[[#This Row],[Departmental Contact Forename(s)]],".",Table1[[#This Row],[Departmental Contact Surname]],"@hmtreasury.gov.uk")</f>
        <v>Natalie.Jacottet@hmtreasury.gov.uk</v>
      </c>
      <c r="D10" s="4" t="s">
        <v>60</v>
      </c>
      <c r="E10" s="2" t="s">
        <v>68</v>
      </c>
      <c r="F10" s="2" t="s">
        <v>39</v>
      </c>
      <c r="G10" s="5" t="s">
        <v>40</v>
      </c>
      <c r="H10" s="5" t="s">
        <v>40</v>
      </c>
      <c r="I10" s="5"/>
      <c r="J10" s="5"/>
      <c r="K10" s="5" t="str">
        <f>CONCATENATE(Table1[[#This Row],[Lead UKGI Contact Forename]],".",Table1[[#This Row],[Lead UKGI Contact Surname]],"@ukgi.org.uk")</f>
        <v>.@ukgi.org.uk</v>
      </c>
      <c r="L10" s="5"/>
      <c r="M10" s="5"/>
    </row>
    <row r="11" spans="1:16" ht="25.5" hidden="1" x14ac:dyDescent="0.2">
      <c r="A11" s="2" t="s">
        <v>69</v>
      </c>
      <c r="B11" s="2" t="s">
        <v>70</v>
      </c>
      <c r="C11" s="3" t="str">
        <f>CONCATENATE(Table1[[#This Row],[Departmental Contact Forename(s)]],".",Table1[[#This Row],[Departmental Contact Surname]],"@hmtreasury.gov.uk")</f>
        <v>Neneh.Binning@hmtreasury.gov.uk</v>
      </c>
      <c r="D11" s="4" t="s">
        <v>71</v>
      </c>
      <c r="E11" s="2" t="s">
        <v>72</v>
      </c>
      <c r="F11" s="2" t="s">
        <v>39</v>
      </c>
      <c r="G11" s="5" t="s">
        <v>40</v>
      </c>
      <c r="H11" s="2" t="s">
        <v>40</v>
      </c>
      <c r="I11" s="5"/>
      <c r="J11" s="5"/>
      <c r="K11" s="5" t="str">
        <f>CONCATENATE(Table1[[#This Row],[Lead UKGI Contact Forename]],".",Table1[[#This Row],[Lead UKGI Contact Surname]],"@ukgi.org.uk")</f>
        <v>.@ukgi.org.uk</v>
      </c>
      <c r="L11" s="5"/>
      <c r="M11" s="5"/>
    </row>
    <row r="12" spans="1:16" hidden="1" x14ac:dyDescent="0.2">
      <c r="A12" s="2" t="s">
        <v>73</v>
      </c>
      <c r="B12" s="2" t="s">
        <v>63</v>
      </c>
      <c r="C12" s="3" t="str">
        <f>CONCATENATE(Table1[[#This Row],[Departmental Contact Forename(s)]],".",Table1[[#This Row],[Departmental Contact Surname]],"@hmtreasury.gov.uk")</f>
        <v>Matthew.Connolly@hmtreasury.gov.uk</v>
      </c>
      <c r="D12" s="4" t="s">
        <v>71</v>
      </c>
      <c r="E12" s="2" t="s">
        <v>74</v>
      </c>
      <c r="F12" s="2" t="s">
        <v>39</v>
      </c>
      <c r="G12" s="5" t="s">
        <v>40</v>
      </c>
      <c r="H12" s="5" t="s">
        <v>40</v>
      </c>
      <c r="I12" s="5"/>
      <c r="J12" s="5"/>
      <c r="K12" s="5" t="str">
        <f>CONCATENATE(Table1[[#This Row],[Lead UKGI Contact Forename]],".",Table1[[#This Row],[Lead UKGI Contact Surname]],"@ukgi.org.uk")</f>
        <v>.@ukgi.org.uk</v>
      </c>
      <c r="L12" s="5"/>
      <c r="M12" s="5"/>
    </row>
    <row r="13" spans="1:16" hidden="1" x14ac:dyDescent="0.2">
      <c r="A13" s="2" t="s">
        <v>75</v>
      </c>
      <c r="B13" s="2" t="s">
        <v>76</v>
      </c>
      <c r="C13" s="3" t="str">
        <f>CONCATENATE(Table1[[#This Row],[Departmental Contact Forename(s)]],".",Table1[[#This Row],[Departmental Contact Surname]],"@hmtreasury.gov.uk")</f>
        <v>Nick.Donlevy@hmtreasury.gov.uk</v>
      </c>
      <c r="D13" s="4" t="s">
        <v>37</v>
      </c>
      <c r="E13" s="2" t="s">
        <v>77</v>
      </c>
      <c r="F13" s="2" t="s">
        <v>53</v>
      </c>
      <c r="G13" s="5" t="s">
        <v>40</v>
      </c>
      <c r="H13" s="5" t="s">
        <v>40</v>
      </c>
      <c r="I13" s="5"/>
      <c r="J13" s="5"/>
      <c r="K13" s="5" t="str">
        <f>CONCATENATE(Table1[[#This Row],[Lead UKGI Contact Forename]],".",Table1[[#This Row],[Lead UKGI Contact Surname]],"@ukgi.org.uk")</f>
        <v>.@ukgi.org.uk</v>
      </c>
      <c r="L13" s="5"/>
      <c r="M13" s="5"/>
    </row>
    <row r="14" spans="1:16" hidden="1" x14ac:dyDescent="0.2">
      <c r="A14" s="2" t="s">
        <v>78</v>
      </c>
      <c r="B14" s="2" t="s">
        <v>79</v>
      </c>
      <c r="C14" s="3" t="str">
        <f>CONCATENATE(Table1[[#This Row],[Departmental Contact Forename(s)]],".",Table1[[#This Row],[Departmental Contact Surname]],"@hmtreasury.gov.uk")</f>
        <v>Henry.Potts @hmtreasury.gov.uk</v>
      </c>
      <c r="D14" s="4" t="s">
        <v>80</v>
      </c>
      <c r="E14" s="2" t="s">
        <v>81</v>
      </c>
      <c r="F14" s="2" t="s">
        <v>39</v>
      </c>
      <c r="G14" s="5" t="s">
        <v>40</v>
      </c>
      <c r="H14" s="5" t="s">
        <v>40</v>
      </c>
      <c r="I14" s="5"/>
      <c r="J14" s="5"/>
      <c r="K14" s="5" t="str">
        <f>CONCATENATE(Table1[[#This Row],[Lead UKGI Contact Forename]],".",Table1[[#This Row],[Lead UKGI Contact Surname]],"@ukgi.org.uk")</f>
        <v>.@ukgi.org.uk</v>
      </c>
      <c r="L14" s="5"/>
      <c r="M14" s="5"/>
    </row>
    <row r="15" spans="1:16" hidden="1" x14ac:dyDescent="0.2">
      <c r="A15" s="2" t="s">
        <v>82</v>
      </c>
      <c r="B15" s="2" t="s">
        <v>83</v>
      </c>
      <c r="C15" s="3" t="str">
        <f>CONCATENATE(Table1[[#This Row],[Departmental Contact Forename(s)]],".",Table1[[#This Row],[Departmental Contact Surname]],"@hmtreasury.gov.uk")</f>
        <v>Ezziddin.Yonis@hmtreasury.gov.uk</v>
      </c>
      <c r="D15" s="4" t="s">
        <v>80</v>
      </c>
      <c r="E15" s="2" t="s">
        <v>84</v>
      </c>
      <c r="F15" s="2" t="s">
        <v>39</v>
      </c>
      <c r="G15" s="5" t="s">
        <v>40</v>
      </c>
      <c r="H15" s="5" t="s">
        <v>40</v>
      </c>
      <c r="I15" s="5"/>
      <c r="J15" s="5"/>
      <c r="K15" s="5" t="str">
        <f>CONCATENATE(Table1[[#This Row],[Lead UKGI Contact Forename]],".",Table1[[#This Row],[Lead UKGI Contact Surname]],"@ukgi.org.uk")</f>
        <v>.@ukgi.org.uk</v>
      </c>
      <c r="L15" s="5"/>
      <c r="M15" s="5"/>
    </row>
    <row r="16" spans="1:16" ht="25.5" hidden="1" x14ac:dyDescent="0.2">
      <c r="A16" s="1" t="s">
        <v>85</v>
      </c>
      <c r="B16" s="1" t="s">
        <v>79</v>
      </c>
      <c r="C16" s="3" t="str">
        <f>CONCATENATE(Table1[[#This Row],[Departmental Contact Forename(s)]],".",Table1[[#This Row],[Departmental Contact Surname]],"@hmtreasury.gov.uk")</f>
        <v>Henry.Elks@hmtreasury.gov.uk</v>
      </c>
      <c r="D16" s="1" t="s">
        <v>45</v>
      </c>
      <c r="E16" s="5" t="s">
        <v>86</v>
      </c>
      <c r="F16" s="5" t="s">
        <v>87</v>
      </c>
      <c r="G16" s="5" t="s">
        <v>40</v>
      </c>
      <c r="H16" s="5" t="s">
        <v>40</v>
      </c>
      <c r="K16" s="5" t="str">
        <f>CONCATENATE(Table1[[#This Row],[Lead UKGI Contact Forename]],".",Table1[[#This Row],[Lead UKGI Contact Surname]],"@ukgi.org.uk")</f>
        <v>.@ukgi.org.uk</v>
      </c>
    </row>
    <row r="17" spans="1:14" hidden="1" x14ac:dyDescent="0.2">
      <c r="A17" s="2" t="s">
        <v>88</v>
      </c>
      <c r="B17" s="2" t="s">
        <v>89</v>
      </c>
      <c r="C17" s="3" t="str">
        <f>CONCATENATE(Table1[[#This Row],[Departmental Contact Forename(s)]],".",Table1[[#This Row],[Departmental Contact Surname]],"@hmtreasury.gov.uk")</f>
        <v>Thomas.Markland@hmtreasury.gov.uk</v>
      </c>
      <c r="D17" s="4" t="s">
        <v>60</v>
      </c>
      <c r="E17" s="2" t="s">
        <v>90</v>
      </c>
      <c r="F17" s="2" t="s">
        <v>39</v>
      </c>
      <c r="G17" s="5" t="s">
        <v>40</v>
      </c>
      <c r="H17" s="5" t="s">
        <v>40</v>
      </c>
      <c r="I17" s="5"/>
      <c r="J17" s="5"/>
      <c r="K17" s="5" t="str">
        <f>CONCATENATE(Table1[[#This Row],[Lead UKGI Contact Forename]],".",Table1[[#This Row],[Lead UKGI Contact Surname]],"@ukgi.org.uk")</f>
        <v>.@ukgi.org.uk</v>
      </c>
      <c r="L17" s="5"/>
      <c r="M17" s="5"/>
    </row>
    <row r="18" spans="1:14" ht="25.5" hidden="1" x14ac:dyDescent="0.2">
      <c r="A18" s="2" t="s">
        <v>91</v>
      </c>
      <c r="B18" s="2" t="s">
        <v>36</v>
      </c>
      <c r="C18" s="3" t="str">
        <f>CONCATENATE(Table1[[#This Row],[Departmental Contact Forename(s)]],".",Table1[[#This Row],[Departmental Contact Surname]],"@hmtreasury.gov.uk")</f>
        <v>Daniel.Poxon@hmtreasury.gov.uk</v>
      </c>
      <c r="D18" s="4" t="s">
        <v>71</v>
      </c>
      <c r="E18" s="2" t="s">
        <v>92</v>
      </c>
      <c r="F18" s="2" t="s">
        <v>39</v>
      </c>
      <c r="G18" s="5" t="s">
        <v>40</v>
      </c>
      <c r="H18" s="5" t="s">
        <v>40</v>
      </c>
      <c r="I18" s="5"/>
      <c r="J18" s="5"/>
      <c r="K18" s="5" t="str">
        <f>CONCATENATE(Table1[[#This Row],[Lead UKGI Contact Forename]],".",Table1[[#This Row],[Lead UKGI Contact Surname]],"@ukgi.org.uk")</f>
        <v>.@ukgi.org.uk</v>
      </c>
      <c r="L18" s="5"/>
      <c r="M18" s="5"/>
    </row>
    <row r="19" spans="1:14" ht="25.5" hidden="1" x14ac:dyDescent="0.2">
      <c r="A19" s="1" t="s">
        <v>93</v>
      </c>
      <c r="B19" s="1" t="s">
        <v>94</v>
      </c>
      <c r="C19" s="3" t="str">
        <f>CONCATENATE(Table1[[#This Row],[Departmental Contact Forename(s)]],".",Table1[[#This Row],[Departmental Contact Surname]],"@hmtreasury.gov.uk")</f>
        <v>Ian.Ginsberg@hmtreasury.gov.uk</v>
      </c>
      <c r="D19" s="4" t="s">
        <v>37</v>
      </c>
      <c r="E19" s="5" t="s">
        <v>95</v>
      </c>
      <c r="F19" s="5" t="s">
        <v>96</v>
      </c>
      <c r="G19" s="5" t="s">
        <v>40</v>
      </c>
      <c r="H19" s="5" t="s">
        <v>40</v>
      </c>
      <c r="K19" s="5" t="str">
        <f>CONCATENATE(Table1[[#This Row],[Lead UKGI Contact Forename]],".",Table1[[#This Row],[Lead UKGI Contact Surname]],"@ukgi.org.uk")</f>
        <v>.@ukgi.org.uk</v>
      </c>
    </row>
    <row r="20" spans="1:14" hidden="1" x14ac:dyDescent="0.2">
      <c r="A20" s="1" t="s">
        <v>97</v>
      </c>
      <c r="B20" s="1" t="s">
        <v>98</v>
      </c>
      <c r="C20" s="3" t="str">
        <f>CONCATENATE(Table1[[#This Row],[Departmental Contact Forename(s)]],".",Table1[[#This Row],[Departmental Contact Surname]],"@hmtreasury.gov.uk")</f>
        <v>Stuart.Glassborow@hmtreasury.gov.uk</v>
      </c>
      <c r="D20" s="4" t="s">
        <v>37</v>
      </c>
      <c r="E20" s="5" t="s">
        <v>99</v>
      </c>
      <c r="F20" s="5" t="s">
        <v>39</v>
      </c>
      <c r="G20" s="5" t="s">
        <v>40</v>
      </c>
      <c r="H20" s="5" t="s">
        <v>40</v>
      </c>
      <c r="K20" s="5" t="str">
        <f>CONCATENATE(Table1[[#This Row],[Lead UKGI Contact Forename]],".",Table1[[#This Row],[Lead UKGI Contact Surname]],"@ukgi.org.uk")</f>
        <v>.@ukgi.org.uk</v>
      </c>
    </row>
    <row r="21" spans="1:14" ht="25.5" hidden="1" x14ac:dyDescent="0.2">
      <c r="A21" s="2" t="s">
        <v>100</v>
      </c>
      <c r="B21" s="2" t="s">
        <v>59</v>
      </c>
      <c r="C21" s="3" t="str">
        <f>CONCATENATE(Table1[[#This Row],[Departmental Contact Forename(s)]],".",Table1[[#This Row],[Departmental Contact Surname]],"@hmtreasury.gov.uk")</f>
        <v>Sam.Barton@hmtreasury.gov.uk</v>
      </c>
      <c r="D21" s="4" t="s">
        <v>80</v>
      </c>
      <c r="E21" s="2" t="s">
        <v>101</v>
      </c>
      <c r="F21" s="2" t="s">
        <v>39</v>
      </c>
      <c r="G21" s="5" t="s">
        <v>40</v>
      </c>
      <c r="H21" s="2" t="s">
        <v>40</v>
      </c>
      <c r="I21" s="5"/>
      <c r="J21" s="5"/>
      <c r="K21" s="5" t="str">
        <f>CONCATENATE(Table1[[#This Row],[Lead UKGI Contact Forename]],".",Table1[[#This Row],[Lead UKGI Contact Surname]],"@ukgi.org.uk")</f>
        <v>.@ukgi.org.uk</v>
      </c>
      <c r="L21" s="5"/>
      <c r="M21" s="5"/>
    </row>
    <row r="22" spans="1:14" ht="25.5" hidden="1" x14ac:dyDescent="0.2">
      <c r="A22" s="2" t="s">
        <v>102</v>
      </c>
      <c r="B22" s="2" t="s">
        <v>103</v>
      </c>
      <c r="C22" s="3" t="str">
        <f>CONCATENATE(Table1[[#This Row],[Departmental Contact Forename(s)]],".",Table1[[#This Row],[Departmental Contact Surname]],"@hmtreasury.gov.uk")</f>
        <v>Peter.Symons@hmtreasury.gov.uk</v>
      </c>
      <c r="D22" s="4" t="s">
        <v>71</v>
      </c>
      <c r="E22" s="2" t="s">
        <v>104</v>
      </c>
      <c r="F22" s="2" t="s">
        <v>39</v>
      </c>
      <c r="G22" s="5" t="s">
        <v>40</v>
      </c>
      <c r="H22" s="5" t="s">
        <v>40</v>
      </c>
      <c r="I22" s="5"/>
      <c r="J22" s="5"/>
      <c r="K22" s="5" t="str">
        <f>CONCATENATE(Table1[[#This Row],[Lead UKGI Contact Forename]],".",Table1[[#This Row],[Lead UKGI Contact Surname]],"@ukgi.org.uk")</f>
        <v>.@ukgi.org.uk</v>
      </c>
      <c r="L22" s="5"/>
      <c r="M22" s="5"/>
    </row>
    <row r="23" spans="1:14" hidden="1" x14ac:dyDescent="0.2">
      <c r="A23" s="2" t="s">
        <v>105</v>
      </c>
      <c r="B23" s="2" t="s">
        <v>106</v>
      </c>
      <c r="C23" s="3" t="str">
        <f>CONCATENATE(Table1[[#This Row],[Departmental Contact Forename(s)]],".",Table1[[#This Row],[Departmental Contact Surname]],"@hmtreasury.gov.uk")</f>
        <v>Joel.Challoner@hmtreasury.gov.uk</v>
      </c>
      <c r="D23" s="4" t="s">
        <v>80</v>
      </c>
      <c r="E23" s="2" t="s">
        <v>107</v>
      </c>
      <c r="F23" s="2" t="s">
        <v>39</v>
      </c>
      <c r="G23" s="5" t="s">
        <v>40</v>
      </c>
      <c r="H23" s="5" t="s">
        <v>40</v>
      </c>
      <c r="I23" s="5"/>
      <c r="J23" s="5"/>
      <c r="K23" s="5" t="str">
        <f>CONCATENATE(Table1[[#This Row],[Lead UKGI Contact Forename]],".",Table1[[#This Row],[Lead UKGI Contact Surname]],"@ukgi.org.uk")</f>
        <v>.@ukgi.org.uk</v>
      </c>
      <c r="L23" s="5"/>
      <c r="M23" s="5"/>
    </row>
    <row r="24" spans="1:14" ht="25.5" hidden="1" x14ac:dyDescent="0.2">
      <c r="A24" s="2" t="s">
        <v>108</v>
      </c>
      <c r="B24" s="2" t="s">
        <v>109</v>
      </c>
      <c r="C24" s="3" t="str">
        <f>CONCATENATE(Table1[[#This Row],[Departmental Contact Forename(s)]],".",Table1[[#This Row],[Departmental Contact Surname]],"@hmtreasury.gov.uk")</f>
        <v>Jessica.Glover@hmtreasury.gov.uk</v>
      </c>
      <c r="D24" s="4" t="s">
        <v>110</v>
      </c>
      <c r="E24" s="2" t="s">
        <v>111</v>
      </c>
      <c r="F24" s="2" t="s">
        <v>112</v>
      </c>
      <c r="G24" s="5" t="s">
        <v>40</v>
      </c>
      <c r="H24" s="5" t="s">
        <v>40</v>
      </c>
      <c r="I24" s="5"/>
      <c r="J24" s="5"/>
      <c r="K24" s="5" t="str">
        <f>CONCATENATE(Table1[[#This Row],[Lead UKGI Contact Forename]],".",Table1[[#This Row],[Lead UKGI Contact Surname]],"@ukgi.org.uk")</f>
        <v>.@ukgi.org.uk</v>
      </c>
      <c r="L24" s="5"/>
      <c r="M24" s="5"/>
    </row>
    <row r="25" spans="1:14" hidden="1" x14ac:dyDescent="0.2">
      <c r="A25" s="2" t="s">
        <v>113</v>
      </c>
      <c r="B25" s="2" t="s">
        <v>114</v>
      </c>
      <c r="C25" s="3" t="str">
        <f>CONCATENATE(Table1[[#This Row],[Departmental Contact Forename(s)]],".",Table1[[#This Row],[Departmental Contact Surname]],"@hmtreasury.gov.uk")</f>
        <v>Stephen.Farrington@hmtreasury.gov.uk</v>
      </c>
      <c r="D25" s="4" t="s">
        <v>37</v>
      </c>
      <c r="E25" s="2" t="s">
        <v>115</v>
      </c>
      <c r="F25" s="2" t="s">
        <v>116</v>
      </c>
      <c r="G25" s="5" t="s">
        <v>40</v>
      </c>
      <c r="H25" s="5" t="s">
        <v>40</v>
      </c>
      <c r="I25" s="5" t="s">
        <v>117</v>
      </c>
      <c r="J25" s="5" t="s">
        <v>118</v>
      </c>
      <c r="K25" s="5" t="str">
        <f>CONCATENATE(Table1[[#This Row],[Lead UKGI Contact Forename]],".",Table1[[#This Row],[Lead UKGI Contact Surname]],"@ukgi.org.uk")</f>
        <v>Siobhan.Duffy@ukgi.org.uk</v>
      </c>
      <c r="L25" s="5"/>
      <c r="M25" s="5"/>
      <c r="N25" s="1" t="s">
        <v>119</v>
      </c>
    </row>
    <row r="26" spans="1:14" hidden="1" x14ac:dyDescent="0.2">
      <c r="A26" s="4" t="s">
        <v>120</v>
      </c>
      <c r="B26" s="4" t="s">
        <v>121</v>
      </c>
      <c r="C26" s="4"/>
      <c r="D26" s="4" t="s">
        <v>37</v>
      </c>
      <c r="E26" s="2" t="s">
        <v>122</v>
      </c>
      <c r="F26" s="2" t="s">
        <v>123</v>
      </c>
      <c r="G26" s="2" t="s">
        <v>124</v>
      </c>
      <c r="H26" s="2" t="s">
        <v>124</v>
      </c>
      <c r="K26" s="5" t="str">
        <f>CONCATENATE(Table1[[#This Row],[Lead UKGI Contact Forename]],".",Table1[[#This Row],[Lead UKGI Contact Surname]],"@ukgi.org.uk")</f>
        <v>.@ukgi.org.uk</v>
      </c>
    </row>
    <row r="27" spans="1:14" hidden="1" x14ac:dyDescent="0.2">
      <c r="A27" s="4" t="s">
        <v>125</v>
      </c>
      <c r="B27" s="4" t="s">
        <v>126</v>
      </c>
      <c r="C27" s="4"/>
      <c r="D27" s="4" t="s">
        <v>110</v>
      </c>
      <c r="E27" s="2" t="s">
        <v>127</v>
      </c>
      <c r="F27" s="2" t="s">
        <v>128</v>
      </c>
      <c r="G27" s="2" t="s">
        <v>124</v>
      </c>
      <c r="H27" s="2" t="s">
        <v>124</v>
      </c>
      <c r="K27" s="5" t="str">
        <f>CONCATENATE(Table1[[#This Row],[Lead UKGI Contact Forename]],".",Table1[[#This Row],[Lead UKGI Contact Surname]],"@ukgi.org.uk")</f>
        <v>.@ukgi.org.uk</v>
      </c>
    </row>
    <row r="28" spans="1:14" hidden="1" x14ac:dyDescent="0.2">
      <c r="A28" s="4" t="s">
        <v>129</v>
      </c>
      <c r="B28" s="4" t="s">
        <v>130</v>
      </c>
      <c r="C28" s="4"/>
      <c r="D28" s="4" t="s">
        <v>110</v>
      </c>
      <c r="E28" s="2" t="s">
        <v>131</v>
      </c>
      <c r="F28" s="2" t="s">
        <v>132</v>
      </c>
      <c r="G28" s="2" t="s">
        <v>133</v>
      </c>
      <c r="H28" s="2" t="s">
        <v>133</v>
      </c>
      <c r="K28" s="5" t="str">
        <f>CONCATENATE(Table1[[#This Row],[Lead UKGI Contact Forename]],".",Table1[[#This Row],[Lead UKGI Contact Surname]],"@ukgi.org.uk")</f>
        <v>.@ukgi.org.uk</v>
      </c>
    </row>
    <row r="29" spans="1:14" hidden="1" x14ac:dyDescent="0.2">
      <c r="A29" s="4" t="s">
        <v>134</v>
      </c>
      <c r="B29" s="4" t="s">
        <v>135</v>
      </c>
      <c r="C29" s="4"/>
      <c r="D29" s="4" t="s">
        <v>45</v>
      </c>
      <c r="E29" s="2" t="s">
        <v>136</v>
      </c>
      <c r="F29" s="2" t="s">
        <v>137</v>
      </c>
      <c r="G29" s="2" t="s">
        <v>133</v>
      </c>
      <c r="H29" s="2" t="s">
        <v>133</v>
      </c>
      <c r="K29" s="5" t="str">
        <f>CONCATENATE(Table1[[#This Row],[Lead UKGI Contact Forename]],".",Table1[[#This Row],[Lead UKGI Contact Surname]],"@ukgi.org.uk")</f>
        <v>.@ukgi.org.uk</v>
      </c>
    </row>
    <row r="30" spans="1:14" hidden="1" x14ac:dyDescent="0.2">
      <c r="A30" s="4" t="s">
        <v>138</v>
      </c>
      <c r="B30" s="4" t="s">
        <v>139</v>
      </c>
      <c r="C30" s="4"/>
      <c r="D30" s="4" t="s">
        <v>110</v>
      </c>
      <c r="E30" s="2" t="s">
        <v>140</v>
      </c>
      <c r="F30" s="2"/>
      <c r="G30" s="2" t="s">
        <v>133</v>
      </c>
      <c r="H30" s="2" t="s">
        <v>133</v>
      </c>
      <c r="K30" s="5" t="str">
        <f>CONCATENATE(Table1[[#This Row],[Lead UKGI Contact Forename]],".",Table1[[#This Row],[Lead UKGI Contact Surname]],"@ukgi.org.uk")</f>
        <v>.@ukgi.org.uk</v>
      </c>
    </row>
    <row r="31" spans="1:14" ht="25.5" hidden="1" x14ac:dyDescent="0.2">
      <c r="A31" s="4" t="s">
        <v>141</v>
      </c>
      <c r="B31" s="4" t="s">
        <v>142</v>
      </c>
      <c r="C31" s="4"/>
      <c r="D31" s="4" t="s">
        <v>143</v>
      </c>
      <c r="E31" s="2" t="s">
        <v>144</v>
      </c>
      <c r="F31" s="2" t="s">
        <v>144</v>
      </c>
      <c r="G31" s="2" t="s">
        <v>145</v>
      </c>
      <c r="H31" s="2" t="s">
        <v>145</v>
      </c>
      <c r="K31" s="5" t="str">
        <f>CONCATENATE(Table1[[#This Row],[Lead UKGI Contact Forename]],".",Table1[[#This Row],[Lead UKGI Contact Surname]],"@ukgi.org.uk")</f>
        <v>.@ukgi.org.uk</v>
      </c>
    </row>
    <row r="32" spans="1:14" ht="25.5" x14ac:dyDescent="0.2">
      <c r="A32" s="4" t="s">
        <v>146</v>
      </c>
      <c r="B32" s="4" t="s">
        <v>147</v>
      </c>
      <c r="C32" s="4"/>
      <c r="D32" s="4" t="s">
        <v>148</v>
      </c>
      <c r="E32" s="2" t="s">
        <v>149</v>
      </c>
      <c r="F32" s="2" t="s">
        <v>150</v>
      </c>
      <c r="G32" s="2" t="s">
        <v>145</v>
      </c>
      <c r="H32" s="2" t="s">
        <v>145</v>
      </c>
      <c r="K32" s="5" t="str">
        <f>CONCATENATE(Table1[[#This Row],[Lead UKGI Contact Forename]],".",Table1[[#This Row],[Lead UKGI Contact Surname]],"@ukgi.org.uk")</f>
        <v>.@ukgi.org.uk</v>
      </c>
    </row>
    <row r="33" spans="1:14" ht="25.5" hidden="1" x14ac:dyDescent="0.2">
      <c r="A33" s="4" t="s">
        <v>151</v>
      </c>
      <c r="B33" s="4" t="s">
        <v>152</v>
      </c>
      <c r="C33" s="4"/>
      <c r="D33" s="4" t="s">
        <v>37</v>
      </c>
      <c r="E33" s="2" t="s">
        <v>153</v>
      </c>
      <c r="F33" s="2" t="s">
        <v>153</v>
      </c>
      <c r="G33" s="2" t="s">
        <v>145</v>
      </c>
      <c r="H33" s="2" t="s">
        <v>145</v>
      </c>
      <c r="K33" s="5" t="str">
        <f>CONCATENATE(Table1[[#This Row],[Lead UKGI Contact Forename]],".",Table1[[#This Row],[Lead UKGI Contact Surname]],"@ukgi.org.uk")</f>
        <v>.@ukgi.org.uk</v>
      </c>
    </row>
    <row r="34" spans="1:14" ht="25.5" x14ac:dyDescent="0.2">
      <c r="A34" s="4" t="s">
        <v>154</v>
      </c>
      <c r="B34" s="4" t="s">
        <v>155</v>
      </c>
      <c r="C34" s="4"/>
      <c r="D34" s="4" t="s">
        <v>148</v>
      </c>
      <c r="E34" s="2" t="s">
        <v>156</v>
      </c>
      <c r="F34" s="2"/>
      <c r="G34" s="2" t="s">
        <v>157</v>
      </c>
      <c r="H34" s="2" t="s">
        <v>158</v>
      </c>
      <c r="K34" s="5" t="str">
        <f>CONCATENATE(Table1[[#This Row],[Lead UKGI Contact Forename]],".",Table1[[#This Row],[Lead UKGI Contact Surname]],"@ukgi.org.uk")</f>
        <v>.@ukgi.org.uk</v>
      </c>
    </row>
    <row r="35" spans="1:14" x14ac:dyDescent="0.2">
      <c r="A35" s="4" t="s">
        <v>159</v>
      </c>
      <c r="B35" s="4" t="s">
        <v>160</v>
      </c>
      <c r="C35" s="4"/>
      <c r="D35" s="4" t="s">
        <v>148</v>
      </c>
      <c r="E35" s="2" t="s">
        <v>161</v>
      </c>
      <c r="F35" s="2"/>
      <c r="G35" s="2" t="s">
        <v>162</v>
      </c>
      <c r="H35" s="2" t="s">
        <v>163</v>
      </c>
      <c r="K35" s="5" t="str">
        <f>CONCATENATE(Table1[[#This Row],[Lead UKGI Contact Forename]],".",Table1[[#This Row],[Lead UKGI Contact Surname]],"@ukgi.org.uk")</f>
        <v>.@ukgi.org.uk</v>
      </c>
    </row>
    <row r="36" spans="1:14" ht="38.25" x14ac:dyDescent="0.2">
      <c r="A36" s="4" t="s">
        <v>164</v>
      </c>
      <c r="B36" s="4" t="s">
        <v>165</v>
      </c>
      <c r="C36" s="4"/>
      <c r="D36" s="4" t="s">
        <v>148</v>
      </c>
      <c r="E36" s="2" t="s">
        <v>166</v>
      </c>
      <c r="F36" s="2"/>
      <c r="G36" s="2" t="s">
        <v>157</v>
      </c>
      <c r="H36" s="2" t="s">
        <v>167</v>
      </c>
      <c r="K36" s="5" t="str">
        <f>CONCATENATE(Table1[[#This Row],[Lead UKGI Contact Forename]],".",Table1[[#This Row],[Lead UKGI Contact Surname]],"@ukgi.org.uk")</f>
        <v>.@ukgi.org.uk</v>
      </c>
    </row>
    <row r="37" spans="1:14" ht="51" x14ac:dyDescent="0.2">
      <c r="A37" s="4" t="s">
        <v>168</v>
      </c>
      <c r="B37" s="4" t="s">
        <v>169</v>
      </c>
      <c r="C37" s="4"/>
      <c r="D37" s="4" t="s">
        <v>148</v>
      </c>
      <c r="E37" s="2" t="s">
        <v>170</v>
      </c>
      <c r="F37" s="2" t="s">
        <v>171</v>
      </c>
      <c r="G37" s="2" t="s">
        <v>172</v>
      </c>
      <c r="H37" s="2" t="s">
        <v>172</v>
      </c>
      <c r="K37" s="5" t="str">
        <f>CONCATENATE(Table1[[#This Row],[Lead UKGI Contact Forename]],".",Table1[[#This Row],[Lead UKGI Contact Surname]],"@ukgi.org.uk")</f>
        <v>.@ukgi.org.uk</v>
      </c>
    </row>
    <row r="38" spans="1:14" ht="38.25" x14ac:dyDescent="0.2">
      <c r="A38" s="4" t="s">
        <v>173</v>
      </c>
      <c r="B38" s="4" t="s">
        <v>139</v>
      </c>
      <c r="C38" s="3" t="s">
        <v>174</v>
      </c>
      <c r="D38" s="4" t="s">
        <v>148</v>
      </c>
      <c r="E38" s="2" t="s">
        <v>175</v>
      </c>
      <c r="F38" s="2" t="s">
        <v>176</v>
      </c>
      <c r="G38" s="2" t="s">
        <v>172</v>
      </c>
      <c r="H38" s="2" t="s">
        <v>172</v>
      </c>
      <c r="I38" s="1" t="s">
        <v>177</v>
      </c>
      <c r="J38" s="1" t="s">
        <v>178</v>
      </c>
      <c r="K38" s="5" t="str">
        <f>CONCATENATE(Table1[[#This Row],[Lead UKGI Contact Forename]],".",Table1[[#This Row],[Lead UKGI Contact Surname]],"@ukgi.org.uk")</f>
        <v>Charles.Donald@ukgi.org.uk</v>
      </c>
      <c r="N38" s="1" t="s">
        <v>119</v>
      </c>
    </row>
    <row r="39" spans="1:14" ht="89.25" hidden="1" x14ac:dyDescent="0.2">
      <c r="A39" s="4" t="s">
        <v>179</v>
      </c>
      <c r="B39" s="4" t="s">
        <v>180</v>
      </c>
      <c r="C39" s="4"/>
      <c r="D39" s="4" t="s">
        <v>110</v>
      </c>
      <c r="E39" s="2" t="s">
        <v>181</v>
      </c>
      <c r="F39" s="2" t="s">
        <v>182</v>
      </c>
      <c r="G39" s="2" t="s">
        <v>172</v>
      </c>
      <c r="H39" s="2" t="s">
        <v>172</v>
      </c>
      <c r="K39" s="5" t="str">
        <f>CONCATENATE(Table1[[#This Row],[Lead UKGI Contact Forename]],".",Table1[[#This Row],[Lead UKGI Contact Surname]],"@ukgi.org.uk")</f>
        <v>.@ukgi.org.uk</v>
      </c>
    </row>
    <row r="40" spans="1:14" ht="25.5" hidden="1" x14ac:dyDescent="0.2">
      <c r="A40" s="4" t="s">
        <v>183</v>
      </c>
      <c r="B40" s="4" t="s">
        <v>184</v>
      </c>
      <c r="C40" s="4"/>
      <c r="D40" s="4" t="s">
        <v>37</v>
      </c>
      <c r="E40" s="2" t="s">
        <v>185</v>
      </c>
      <c r="F40" s="2" t="s">
        <v>186</v>
      </c>
      <c r="G40" s="2" t="s">
        <v>187</v>
      </c>
      <c r="H40" s="2" t="s">
        <v>187</v>
      </c>
      <c r="K40" s="5" t="str">
        <f>CONCATENATE(Table1[[#This Row],[Lead UKGI Contact Forename]],".",Table1[[#This Row],[Lead UKGI Contact Surname]],"@ukgi.org.uk")</f>
        <v>.@ukgi.org.uk</v>
      </c>
    </row>
    <row r="41" spans="1:14" ht="140.25" hidden="1" x14ac:dyDescent="0.2">
      <c r="A41" s="4" t="s">
        <v>188</v>
      </c>
      <c r="B41" s="4" t="s">
        <v>189</v>
      </c>
      <c r="C41" s="4"/>
      <c r="D41" s="4" t="s">
        <v>110</v>
      </c>
      <c r="E41" s="2" t="s">
        <v>190</v>
      </c>
      <c r="F41" s="2" t="s">
        <v>191</v>
      </c>
      <c r="G41" s="2" t="s">
        <v>187</v>
      </c>
      <c r="H41" s="2" t="s">
        <v>187</v>
      </c>
      <c r="K41" s="5" t="str">
        <f>CONCATENATE(Table1[[#This Row],[Lead UKGI Contact Forename]],".",Table1[[#This Row],[Lead UKGI Contact Surname]],"@ukgi.org.uk")</f>
        <v>.@ukgi.org.uk</v>
      </c>
    </row>
    <row r="42" spans="1:14" ht="89.25" hidden="1" x14ac:dyDescent="0.2">
      <c r="A42" s="4" t="s">
        <v>192</v>
      </c>
      <c r="B42" s="4" t="s">
        <v>193</v>
      </c>
      <c r="C42" s="4"/>
      <c r="D42" s="4" t="s">
        <v>110</v>
      </c>
      <c r="E42" s="2" t="s">
        <v>194</v>
      </c>
      <c r="F42" s="2" t="s">
        <v>195</v>
      </c>
      <c r="G42" s="2" t="s">
        <v>187</v>
      </c>
      <c r="H42" s="2" t="s">
        <v>187</v>
      </c>
      <c r="K42" s="5" t="str">
        <f>CONCATENATE(Table1[[#This Row],[Lead UKGI Contact Forename]],".",Table1[[#This Row],[Lead UKGI Contact Surname]],"@ukgi.org.uk")</f>
        <v>.@ukgi.org.uk</v>
      </c>
    </row>
    <row r="43" spans="1:14" ht="76.5" hidden="1" x14ac:dyDescent="0.2">
      <c r="A43" s="4" t="s">
        <v>196</v>
      </c>
      <c r="B43" s="4" t="s">
        <v>197</v>
      </c>
      <c r="C43" s="4"/>
      <c r="D43" s="4" t="s">
        <v>110</v>
      </c>
      <c r="E43" s="2" t="s">
        <v>198</v>
      </c>
      <c r="F43" s="2" t="s">
        <v>199</v>
      </c>
      <c r="G43" s="2" t="s">
        <v>187</v>
      </c>
      <c r="H43" s="2" t="s">
        <v>187</v>
      </c>
      <c r="K43" s="5" t="str">
        <f>CONCATENATE(Table1[[#This Row],[Lead UKGI Contact Forename]],".",Table1[[#This Row],[Lead UKGI Contact Surname]],"@ukgi.org.uk")</f>
        <v>.@ukgi.org.uk</v>
      </c>
    </row>
    <row r="44" spans="1:14" ht="38.25" hidden="1" x14ac:dyDescent="0.2">
      <c r="A44" s="4" t="s">
        <v>200</v>
      </c>
      <c r="B44" s="4" t="s">
        <v>152</v>
      </c>
      <c r="C44" s="4"/>
      <c r="D44" s="4" t="s">
        <v>110</v>
      </c>
      <c r="E44" s="2" t="s">
        <v>201</v>
      </c>
      <c r="F44" s="2" t="s">
        <v>202</v>
      </c>
      <c r="G44" s="2" t="s">
        <v>187</v>
      </c>
      <c r="H44" s="2" t="s">
        <v>187</v>
      </c>
      <c r="K44" s="5" t="str">
        <f>CONCATENATE(Table1[[#This Row],[Lead UKGI Contact Forename]],".",Table1[[#This Row],[Lead UKGI Contact Surname]],"@ukgi.org.uk")</f>
        <v>.@ukgi.org.uk</v>
      </c>
    </row>
    <row r="45" spans="1:14" ht="153" hidden="1" x14ac:dyDescent="0.2">
      <c r="A45" s="4" t="s">
        <v>203</v>
      </c>
      <c r="B45" s="4" t="s">
        <v>204</v>
      </c>
      <c r="C45" s="4"/>
      <c r="D45" s="4" t="s">
        <v>110</v>
      </c>
      <c r="E45" s="2" t="s">
        <v>205</v>
      </c>
      <c r="F45" s="2" t="s">
        <v>206</v>
      </c>
      <c r="G45" s="2" t="s">
        <v>187</v>
      </c>
      <c r="H45" s="2" t="s">
        <v>187</v>
      </c>
      <c r="K45" s="5" t="str">
        <f>CONCATENATE(Table1[[#This Row],[Lead UKGI Contact Forename]],".",Table1[[#This Row],[Lead UKGI Contact Surname]],"@ukgi.org.uk")</f>
        <v>.@ukgi.org.uk</v>
      </c>
    </row>
    <row r="46" spans="1:14" ht="38.25" x14ac:dyDescent="0.2">
      <c r="A46" s="4" t="s">
        <v>207</v>
      </c>
      <c r="B46" s="4" t="s">
        <v>103</v>
      </c>
      <c r="C46" s="4"/>
      <c r="D46" s="4" t="s">
        <v>148</v>
      </c>
      <c r="E46" s="2" t="s">
        <v>208</v>
      </c>
      <c r="F46" s="2" t="s">
        <v>209</v>
      </c>
      <c r="G46" s="2" t="s">
        <v>187</v>
      </c>
      <c r="H46" s="2" t="s">
        <v>187</v>
      </c>
      <c r="K46" s="5" t="str">
        <f>CONCATENATE(Table1[[#This Row],[Lead UKGI Contact Forename]],".",Table1[[#This Row],[Lead UKGI Contact Surname]],"@ukgi.org.uk")</f>
        <v>.@ukgi.org.uk</v>
      </c>
    </row>
    <row r="47" spans="1:14" ht="25.5" hidden="1" x14ac:dyDescent="0.2">
      <c r="A47" s="4" t="s">
        <v>210</v>
      </c>
      <c r="B47" s="4" t="s">
        <v>178</v>
      </c>
      <c r="C47" s="4"/>
      <c r="D47" s="4" t="s">
        <v>211</v>
      </c>
      <c r="E47" s="2" t="s">
        <v>150</v>
      </c>
      <c r="F47" s="2"/>
      <c r="G47" s="2" t="s">
        <v>187</v>
      </c>
      <c r="H47" s="2" t="s">
        <v>212</v>
      </c>
      <c r="K47" s="5" t="str">
        <f>CONCATENATE(Table1[[#This Row],[Lead UKGI Contact Forename]],".",Table1[[#This Row],[Lead UKGI Contact Surname]],"@ukgi.org.uk")</f>
        <v>.@ukgi.org.uk</v>
      </c>
    </row>
    <row r="48" spans="1:14" ht="25.5" hidden="1" x14ac:dyDescent="0.2">
      <c r="A48" s="4" t="s">
        <v>213</v>
      </c>
      <c r="B48" s="4" t="s">
        <v>214</v>
      </c>
      <c r="C48" s="4"/>
      <c r="D48" s="4" t="s">
        <v>143</v>
      </c>
      <c r="E48" s="2" t="s">
        <v>143</v>
      </c>
      <c r="F48" s="2"/>
      <c r="G48" s="2" t="s">
        <v>187</v>
      </c>
      <c r="H48" s="2" t="s">
        <v>212</v>
      </c>
      <c r="K48" s="5" t="str">
        <f>CONCATENATE(Table1[[#This Row],[Lead UKGI Contact Forename]],".",Table1[[#This Row],[Lead UKGI Contact Surname]],"@ukgi.org.uk")</f>
        <v>.@ukgi.org.uk</v>
      </c>
    </row>
    <row r="49" spans="1:11" ht="25.5" hidden="1" x14ac:dyDescent="0.2">
      <c r="A49" s="4" t="s">
        <v>215</v>
      </c>
      <c r="B49" s="4" t="s">
        <v>216</v>
      </c>
      <c r="C49" s="4"/>
      <c r="D49" s="4" t="s">
        <v>211</v>
      </c>
      <c r="E49" s="2" t="s">
        <v>217</v>
      </c>
      <c r="F49" s="2"/>
      <c r="G49" s="2" t="s">
        <v>187</v>
      </c>
      <c r="H49" s="2" t="s">
        <v>212</v>
      </c>
      <c r="K49" s="5" t="str">
        <f>CONCATENATE(Table1[[#This Row],[Lead UKGI Contact Forename]],".",Table1[[#This Row],[Lead UKGI Contact Surname]],"@ukgi.org.uk")</f>
        <v>.@ukgi.org.uk</v>
      </c>
    </row>
    <row r="50" spans="1:11" ht="25.5" hidden="1" x14ac:dyDescent="0.2">
      <c r="A50" s="4" t="s">
        <v>218</v>
      </c>
      <c r="B50" s="4" t="s">
        <v>219</v>
      </c>
      <c r="C50" s="4"/>
      <c r="D50" s="4" t="s">
        <v>211</v>
      </c>
      <c r="E50" s="2" t="s">
        <v>220</v>
      </c>
      <c r="F50" s="2" t="s">
        <v>221</v>
      </c>
      <c r="G50" s="2" t="s">
        <v>187</v>
      </c>
      <c r="H50" s="2" t="s">
        <v>212</v>
      </c>
      <c r="K50" s="5" t="str">
        <f>CONCATENATE(Table1[[#This Row],[Lead UKGI Contact Forename]],".",Table1[[#This Row],[Lead UKGI Contact Surname]],"@ukgi.org.uk")</f>
        <v>.@ukgi.org.uk</v>
      </c>
    </row>
    <row r="51" spans="1:11" ht="25.5" hidden="1" x14ac:dyDescent="0.2">
      <c r="A51" s="4" t="s">
        <v>222</v>
      </c>
      <c r="B51" s="4" t="s">
        <v>223</v>
      </c>
      <c r="C51" s="4"/>
      <c r="D51" s="4" t="s">
        <v>211</v>
      </c>
      <c r="E51" s="2" t="s">
        <v>224</v>
      </c>
      <c r="F51" s="2" t="s">
        <v>221</v>
      </c>
      <c r="G51" s="2" t="s">
        <v>187</v>
      </c>
      <c r="H51" s="2" t="s">
        <v>212</v>
      </c>
      <c r="K51" s="5" t="str">
        <f>CONCATENATE(Table1[[#This Row],[Lead UKGI Contact Forename]],".",Table1[[#This Row],[Lead UKGI Contact Surname]],"@ukgi.org.uk")</f>
        <v>.@ukgi.org.uk</v>
      </c>
    </row>
    <row r="52" spans="1:11" ht="25.5" x14ac:dyDescent="0.2">
      <c r="A52" s="4" t="s">
        <v>225</v>
      </c>
      <c r="B52" s="4" t="s">
        <v>226</v>
      </c>
      <c r="C52" s="4"/>
      <c r="D52" s="4" t="s">
        <v>148</v>
      </c>
      <c r="E52" s="2" t="s">
        <v>149</v>
      </c>
      <c r="F52" s="2" t="s">
        <v>227</v>
      </c>
      <c r="G52" s="2" t="s">
        <v>187</v>
      </c>
      <c r="H52" s="2" t="s">
        <v>228</v>
      </c>
      <c r="K52" s="5" t="str">
        <f>CONCATENATE(Table1[[#This Row],[Lead UKGI Contact Forename]],".",Table1[[#This Row],[Lead UKGI Contact Surname]],"@ukgi.org.uk")</f>
        <v>.@ukgi.org.uk</v>
      </c>
    </row>
    <row r="53" spans="1:11" ht="25.5" hidden="1" x14ac:dyDescent="0.2">
      <c r="A53" s="4" t="s">
        <v>229</v>
      </c>
      <c r="B53" s="4" t="s">
        <v>230</v>
      </c>
      <c r="C53" s="4"/>
      <c r="D53" s="4" t="s">
        <v>37</v>
      </c>
      <c r="E53" s="2" t="s">
        <v>231</v>
      </c>
      <c r="F53" s="2" t="s">
        <v>232</v>
      </c>
      <c r="G53" s="2" t="s">
        <v>187</v>
      </c>
      <c r="H53" s="2" t="s">
        <v>228</v>
      </c>
      <c r="K53" s="5" t="str">
        <f>CONCATENATE(Table1[[#This Row],[Lead UKGI Contact Forename]],".",Table1[[#This Row],[Lead UKGI Contact Surname]],"@ukgi.org.uk")</f>
        <v>.@ukgi.org.uk</v>
      </c>
    </row>
    <row r="54" spans="1:11" ht="38.25" hidden="1" x14ac:dyDescent="0.2">
      <c r="A54" s="4" t="s">
        <v>233</v>
      </c>
      <c r="B54" s="4" t="s">
        <v>214</v>
      </c>
      <c r="C54" s="4"/>
      <c r="D54" s="4" t="s">
        <v>110</v>
      </c>
      <c r="E54" s="2" t="s">
        <v>234</v>
      </c>
      <c r="F54" s="2" t="s">
        <v>235</v>
      </c>
      <c r="G54" s="2" t="s">
        <v>187</v>
      </c>
      <c r="H54" s="2" t="s">
        <v>236</v>
      </c>
      <c r="K54" s="5" t="str">
        <f>CONCATENATE(Table1[[#This Row],[Lead UKGI Contact Forename]],".",Table1[[#This Row],[Lead UKGI Contact Surname]],"@ukgi.org.uk")</f>
        <v>.@ukgi.org.uk</v>
      </c>
    </row>
    <row r="55" spans="1:11" ht="25.5" x14ac:dyDescent="0.2">
      <c r="A55" s="4" t="s">
        <v>237</v>
      </c>
      <c r="B55" s="4" t="s">
        <v>238</v>
      </c>
      <c r="C55" s="4"/>
      <c r="D55" s="4" t="s">
        <v>148</v>
      </c>
      <c r="E55" s="2" t="s">
        <v>239</v>
      </c>
      <c r="F55" s="2" t="s">
        <v>239</v>
      </c>
      <c r="G55" s="2" t="s">
        <v>240</v>
      </c>
      <c r="H55" s="2" t="s">
        <v>241</v>
      </c>
      <c r="K55" s="5" t="str">
        <f>CONCATENATE(Table1[[#This Row],[Lead UKGI Contact Forename]],".",Table1[[#This Row],[Lead UKGI Contact Surname]],"@ukgi.org.uk")</f>
        <v>.@ukgi.org.uk</v>
      </c>
    </row>
    <row r="56" spans="1:11" ht="25.5" hidden="1" x14ac:dyDescent="0.2">
      <c r="A56" s="4" t="s">
        <v>242</v>
      </c>
      <c r="B56" s="4" t="s">
        <v>243</v>
      </c>
      <c r="C56" s="4"/>
      <c r="D56" s="4" t="s">
        <v>37</v>
      </c>
      <c r="E56" s="2" t="s">
        <v>244</v>
      </c>
      <c r="F56" s="2" t="s">
        <v>245</v>
      </c>
      <c r="G56" s="2" t="s">
        <v>240</v>
      </c>
      <c r="H56" s="2" t="s">
        <v>241</v>
      </c>
      <c r="K56" s="5" t="str">
        <f>CONCATENATE(Table1[[#This Row],[Lead UKGI Contact Forename]],".",Table1[[#This Row],[Lead UKGI Contact Surname]],"@ukgi.org.uk")</f>
        <v>.@ukgi.org.uk</v>
      </c>
    </row>
    <row r="57" spans="1:11" ht="25.5" hidden="1" x14ac:dyDescent="0.2">
      <c r="A57" s="4" t="s">
        <v>246</v>
      </c>
      <c r="B57" s="4" t="s">
        <v>247</v>
      </c>
      <c r="C57" s="4"/>
      <c r="D57" s="4" t="s">
        <v>37</v>
      </c>
      <c r="E57" s="2" t="s">
        <v>248</v>
      </c>
      <c r="F57" s="2" t="s">
        <v>249</v>
      </c>
      <c r="G57" s="2" t="s">
        <v>240</v>
      </c>
      <c r="H57" s="2" t="s">
        <v>241</v>
      </c>
      <c r="K57" s="5" t="str">
        <f>CONCATENATE(Table1[[#This Row],[Lead UKGI Contact Forename]],".",Table1[[#This Row],[Lead UKGI Contact Surname]],"@ukgi.org.uk")</f>
        <v>.@ukgi.org.uk</v>
      </c>
    </row>
    <row r="58" spans="1:11" ht="25.5" hidden="1" x14ac:dyDescent="0.2">
      <c r="A58" s="4" t="s">
        <v>250</v>
      </c>
      <c r="B58" s="4" t="s">
        <v>251</v>
      </c>
      <c r="C58" s="4"/>
      <c r="D58" s="4" t="s">
        <v>110</v>
      </c>
      <c r="E58" s="2" t="s">
        <v>252</v>
      </c>
      <c r="F58" s="2" t="s">
        <v>252</v>
      </c>
      <c r="G58" s="2" t="s">
        <v>240</v>
      </c>
      <c r="H58" s="2" t="s">
        <v>241</v>
      </c>
      <c r="K58" s="5" t="str">
        <f>CONCATENATE(Table1[[#This Row],[Lead UKGI Contact Forename]],".",Table1[[#This Row],[Lead UKGI Contact Surname]],"@ukgi.org.uk")</f>
        <v>.@ukgi.org.uk</v>
      </c>
    </row>
    <row r="59" spans="1:11" ht="25.5" x14ac:dyDescent="0.2">
      <c r="A59" s="4" t="s">
        <v>253</v>
      </c>
      <c r="B59" s="4" t="s">
        <v>139</v>
      </c>
      <c r="C59" s="4"/>
      <c r="D59" s="4" t="s">
        <v>148</v>
      </c>
      <c r="E59" s="2" t="s">
        <v>254</v>
      </c>
      <c r="F59" s="2" t="s">
        <v>254</v>
      </c>
      <c r="G59" s="2" t="s">
        <v>240</v>
      </c>
      <c r="H59" s="2" t="s">
        <v>241</v>
      </c>
      <c r="K59" s="5" t="str">
        <f>CONCATENATE(Table1[[#This Row],[Lead UKGI Contact Forename]],".",Table1[[#This Row],[Lead UKGI Contact Surname]],"@ukgi.org.uk")</f>
        <v>.@ukgi.org.uk</v>
      </c>
    </row>
    <row r="60" spans="1:11" ht="25.5" hidden="1" x14ac:dyDescent="0.2">
      <c r="A60" s="4" t="s">
        <v>255</v>
      </c>
      <c r="B60" s="4" t="s">
        <v>256</v>
      </c>
      <c r="C60" s="4"/>
      <c r="D60" s="4" t="s">
        <v>110</v>
      </c>
      <c r="E60" s="2" t="s">
        <v>245</v>
      </c>
      <c r="F60" s="2" t="s">
        <v>245</v>
      </c>
      <c r="G60" s="2" t="s">
        <v>240</v>
      </c>
      <c r="H60" s="2" t="s">
        <v>241</v>
      </c>
      <c r="K60" s="5" t="str">
        <f>CONCATENATE(Table1[[#This Row],[Lead UKGI Contact Forename]],".",Table1[[#This Row],[Lead UKGI Contact Surname]],"@ukgi.org.uk")</f>
        <v>.@ukgi.org.uk</v>
      </c>
    </row>
    <row r="61" spans="1:11" ht="38.25" hidden="1" x14ac:dyDescent="0.2">
      <c r="A61" s="4" t="s">
        <v>257</v>
      </c>
      <c r="B61" s="4" t="s">
        <v>103</v>
      </c>
      <c r="C61" s="4"/>
      <c r="D61" s="4" t="s">
        <v>110</v>
      </c>
      <c r="E61" s="2" t="s">
        <v>258</v>
      </c>
      <c r="F61" s="2" t="s">
        <v>259</v>
      </c>
      <c r="G61" s="2" t="s">
        <v>260</v>
      </c>
      <c r="H61" s="2" t="s">
        <v>260</v>
      </c>
      <c r="K61" s="5" t="str">
        <f>CONCATENATE(Table1[[#This Row],[Lead UKGI Contact Forename]],".",Table1[[#This Row],[Lead UKGI Contact Surname]],"@ukgi.org.uk")</f>
        <v>.@ukgi.org.uk</v>
      </c>
    </row>
    <row r="62" spans="1:11" ht="51" hidden="1" x14ac:dyDescent="0.2">
      <c r="A62" s="4" t="s">
        <v>261</v>
      </c>
      <c r="B62" s="4" t="s">
        <v>178</v>
      </c>
      <c r="C62" s="4"/>
      <c r="D62" s="4" t="s">
        <v>110</v>
      </c>
      <c r="E62" s="2" t="s">
        <v>262</v>
      </c>
      <c r="F62" s="2" t="s">
        <v>263</v>
      </c>
      <c r="G62" s="2" t="s">
        <v>260</v>
      </c>
      <c r="H62" s="2" t="s">
        <v>260</v>
      </c>
      <c r="K62" s="5" t="str">
        <f>CONCATENATE(Table1[[#This Row],[Lead UKGI Contact Forename]],".",Table1[[#This Row],[Lead UKGI Contact Surname]],"@ukgi.org.uk")</f>
        <v>.@ukgi.org.uk</v>
      </c>
    </row>
    <row r="63" spans="1:11" ht="38.25" x14ac:dyDescent="0.2">
      <c r="A63" s="4" t="s">
        <v>264</v>
      </c>
      <c r="B63" s="4" t="s">
        <v>265</v>
      </c>
      <c r="C63" s="4"/>
      <c r="D63" s="4" t="s">
        <v>148</v>
      </c>
      <c r="E63" s="2" t="s">
        <v>208</v>
      </c>
      <c r="F63" s="2" t="s">
        <v>266</v>
      </c>
      <c r="G63" s="2" t="s">
        <v>260</v>
      </c>
      <c r="H63" s="2" t="s">
        <v>260</v>
      </c>
      <c r="K63" s="5" t="str">
        <f>CONCATENATE(Table1[[#This Row],[Lead UKGI Contact Forename]],".",Table1[[#This Row],[Lead UKGI Contact Surname]],"@ukgi.org.uk")</f>
        <v>.@ukgi.org.uk</v>
      </c>
    </row>
    <row r="64" spans="1:11" ht="63.75" hidden="1" x14ac:dyDescent="0.2">
      <c r="A64" s="4" t="s">
        <v>267</v>
      </c>
      <c r="B64" s="4" t="s">
        <v>265</v>
      </c>
      <c r="C64" s="4"/>
      <c r="D64" s="4" t="s">
        <v>37</v>
      </c>
      <c r="E64" s="2" t="s">
        <v>268</v>
      </c>
      <c r="F64" s="2" t="s">
        <v>269</v>
      </c>
      <c r="G64" s="2" t="s">
        <v>260</v>
      </c>
      <c r="H64" s="2" t="s">
        <v>260</v>
      </c>
      <c r="K64" s="5" t="str">
        <f>CONCATENATE(Table1[[#This Row],[Lead UKGI Contact Forename]],".",Table1[[#This Row],[Lead UKGI Contact Surname]],"@ukgi.org.uk")</f>
        <v>.@ukgi.org.uk</v>
      </c>
    </row>
    <row r="65" spans="1:11" ht="51" hidden="1" x14ac:dyDescent="0.2">
      <c r="A65" s="4" t="s">
        <v>270</v>
      </c>
      <c r="B65" s="4" t="s">
        <v>271</v>
      </c>
      <c r="C65" s="4"/>
      <c r="D65" s="4" t="s">
        <v>110</v>
      </c>
      <c r="E65" s="2" t="s">
        <v>272</v>
      </c>
      <c r="F65" s="2" t="s">
        <v>273</v>
      </c>
      <c r="G65" s="2" t="s">
        <v>260</v>
      </c>
      <c r="H65" s="2" t="s">
        <v>260</v>
      </c>
      <c r="K65" s="5" t="str">
        <f>CONCATENATE(Table1[[#This Row],[Lead UKGI Contact Forename]],".",Table1[[#This Row],[Lead UKGI Contact Surname]],"@ukgi.org.uk")</f>
        <v>.@ukgi.org.uk</v>
      </c>
    </row>
    <row r="66" spans="1:11" ht="51" x14ac:dyDescent="0.2">
      <c r="A66" s="4" t="s">
        <v>274</v>
      </c>
      <c r="B66" s="4" t="s">
        <v>275</v>
      </c>
      <c r="C66" s="4"/>
      <c r="D66" s="4" t="s">
        <v>148</v>
      </c>
      <c r="E66" s="2" t="s">
        <v>239</v>
      </c>
      <c r="F66" s="2" t="s">
        <v>276</v>
      </c>
      <c r="G66" s="2" t="s">
        <v>260</v>
      </c>
      <c r="H66" s="2" t="s">
        <v>260</v>
      </c>
      <c r="K66" s="5" t="str">
        <f>CONCATENATE(Table1[[#This Row],[Lead UKGI Contact Forename]],".",Table1[[#This Row],[Lead UKGI Contact Surname]],"@ukgi.org.uk")</f>
        <v>.@ukgi.org.uk</v>
      </c>
    </row>
    <row r="67" spans="1:11" ht="51" hidden="1" x14ac:dyDescent="0.2">
      <c r="A67" s="4" t="s">
        <v>277</v>
      </c>
      <c r="B67" s="4" t="s">
        <v>278</v>
      </c>
      <c r="C67" s="4"/>
      <c r="D67" s="4" t="s">
        <v>110</v>
      </c>
      <c r="E67" s="2" t="s">
        <v>279</v>
      </c>
      <c r="F67" s="2" t="s">
        <v>280</v>
      </c>
      <c r="G67" s="2" t="s">
        <v>260</v>
      </c>
      <c r="H67" s="2" t="s">
        <v>260</v>
      </c>
      <c r="K67" s="5" t="str">
        <f>CONCATENATE(Table1[[#This Row],[Lead UKGI Contact Forename]],".",Table1[[#This Row],[Lead UKGI Contact Surname]],"@ukgi.org.uk")</f>
        <v>.@ukgi.org.uk</v>
      </c>
    </row>
    <row r="68" spans="1:11" ht="76.5" hidden="1" x14ac:dyDescent="0.2">
      <c r="A68" s="4" t="s">
        <v>281</v>
      </c>
      <c r="B68" s="4" t="s">
        <v>282</v>
      </c>
      <c r="C68" s="4"/>
      <c r="D68" s="4" t="s">
        <v>110</v>
      </c>
      <c r="E68" s="2" t="s">
        <v>283</v>
      </c>
      <c r="F68" s="2" t="s">
        <v>284</v>
      </c>
      <c r="G68" s="2" t="s">
        <v>260</v>
      </c>
      <c r="H68" s="2" t="s">
        <v>260</v>
      </c>
      <c r="K68" s="5" t="str">
        <f>CONCATENATE(Table1[[#This Row],[Lead UKGI Contact Forename]],".",Table1[[#This Row],[Lead UKGI Contact Surname]],"@ukgi.org.uk")</f>
        <v>.@ukgi.org.uk</v>
      </c>
    </row>
    <row r="69" spans="1:11" hidden="1" x14ac:dyDescent="0.2">
      <c r="A69" s="4" t="s">
        <v>285</v>
      </c>
      <c r="B69" s="4" t="s">
        <v>286</v>
      </c>
      <c r="C69" s="4"/>
      <c r="D69" s="4" t="s">
        <v>287</v>
      </c>
      <c r="E69" s="2" t="s">
        <v>288</v>
      </c>
      <c r="F69" s="2" t="s">
        <v>288</v>
      </c>
      <c r="G69" s="2" t="s">
        <v>260</v>
      </c>
      <c r="H69" s="2" t="s">
        <v>260</v>
      </c>
      <c r="K69" s="5" t="str">
        <f>CONCATENATE(Table1[[#This Row],[Lead UKGI Contact Forename]],".",Table1[[#This Row],[Lead UKGI Contact Surname]],"@ukgi.org.uk")</f>
        <v>.@ukgi.org.uk</v>
      </c>
    </row>
    <row r="70" spans="1:11" hidden="1" x14ac:dyDescent="0.2">
      <c r="A70" s="4" t="s">
        <v>289</v>
      </c>
      <c r="B70" s="4" t="s">
        <v>290</v>
      </c>
      <c r="C70" s="4"/>
      <c r="D70" s="4" t="s">
        <v>291</v>
      </c>
      <c r="E70" s="2" t="s">
        <v>292</v>
      </c>
      <c r="F70" s="2" t="s">
        <v>292</v>
      </c>
      <c r="G70" s="2" t="s">
        <v>260</v>
      </c>
      <c r="H70" s="2" t="s">
        <v>260</v>
      </c>
      <c r="K70" s="5" t="str">
        <f>CONCATENATE(Table1[[#This Row],[Lead UKGI Contact Forename]],".",Table1[[#This Row],[Lead UKGI Contact Surname]],"@ukgi.org.uk")</f>
        <v>.@ukgi.org.uk</v>
      </c>
    </row>
    <row r="71" spans="1:11" hidden="1" x14ac:dyDescent="0.2">
      <c r="A71" s="4" t="s">
        <v>293</v>
      </c>
      <c r="B71" s="4" t="s">
        <v>51</v>
      </c>
      <c r="C71" s="4"/>
      <c r="D71" s="4" t="s">
        <v>291</v>
      </c>
      <c r="E71" s="2" t="s">
        <v>294</v>
      </c>
      <c r="F71" s="2" t="s">
        <v>294</v>
      </c>
      <c r="G71" s="2" t="s">
        <v>260</v>
      </c>
      <c r="H71" s="2" t="s">
        <v>260</v>
      </c>
      <c r="K71" s="5" t="str">
        <f>CONCATENATE(Table1[[#This Row],[Lead UKGI Contact Forename]],".",Table1[[#This Row],[Lead UKGI Contact Surname]],"@ukgi.org.uk")</f>
        <v>.@ukgi.org.uk</v>
      </c>
    </row>
    <row r="72" spans="1:11" hidden="1" x14ac:dyDescent="0.2">
      <c r="A72" s="4" t="s">
        <v>295</v>
      </c>
      <c r="B72" s="4" t="s">
        <v>296</v>
      </c>
      <c r="C72" s="4"/>
      <c r="D72" s="4" t="s">
        <v>297</v>
      </c>
      <c r="E72" s="2" t="s">
        <v>298</v>
      </c>
      <c r="F72" s="2" t="s">
        <v>298</v>
      </c>
      <c r="G72" s="2" t="s">
        <v>260</v>
      </c>
      <c r="H72" s="2" t="s">
        <v>260</v>
      </c>
      <c r="K72" s="5" t="str">
        <f>CONCATENATE(Table1[[#This Row],[Lead UKGI Contact Forename]],".",Table1[[#This Row],[Lead UKGI Contact Surname]],"@ukgi.org.uk")</f>
        <v>.@ukgi.org.uk</v>
      </c>
    </row>
    <row r="73" spans="1:11" hidden="1" x14ac:dyDescent="0.2">
      <c r="A73" s="4" t="s">
        <v>299</v>
      </c>
      <c r="B73" s="4" t="s">
        <v>300</v>
      </c>
      <c r="C73" s="4"/>
      <c r="D73" s="4" t="s">
        <v>301</v>
      </c>
      <c r="E73" s="2" t="s">
        <v>302</v>
      </c>
      <c r="F73" s="2" t="s">
        <v>302</v>
      </c>
      <c r="G73" s="2" t="s">
        <v>260</v>
      </c>
      <c r="H73" s="2" t="s">
        <v>260</v>
      </c>
      <c r="K73" s="5" t="str">
        <f>CONCATENATE(Table1[[#This Row],[Lead UKGI Contact Forename]],".",Table1[[#This Row],[Lead UKGI Contact Surname]],"@ukgi.org.uk")</f>
        <v>.@ukgi.org.uk</v>
      </c>
    </row>
    <row r="74" spans="1:11" ht="25.5" hidden="1" x14ac:dyDescent="0.2">
      <c r="A74" s="4" t="s">
        <v>50</v>
      </c>
      <c r="B74" s="4" t="s">
        <v>303</v>
      </c>
      <c r="C74" s="4"/>
      <c r="D74" s="4" t="s">
        <v>211</v>
      </c>
      <c r="E74" s="2" t="s">
        <v>304</v>
      </c>
      <c r="F74" s="2" t="s">
        <v>304</v>
      </c>
      <c r="G74" s="2" t="s">
        <v>260</v>
      </c>
      <c r="H74" s="2" t="s">
        <v>260</v>
      </c>
      <c r="K74" s="5" t="str">
        <f>CONCATENATE(Table1[[#This Row],[Lead UKGI Contact Forename]],".",Table1[[#This Row],[Lead UKGI Contact Surname]],"@ukgi.org.uk")</f>
        <v>.@ukgi.org.uk</v>
      </c>
    </row>
    <row r="75" spans="1:11" hidden="1" x14ac:dyDescent="0.2">
      <c r="A75" s="4" t="s">
        <v>141</v>
      </c>
      <c r="B75" s="4" t="s">
        <v>305</v>
      </c>
      <c r="C75" s="4"/>
      <c r="D75" s="4" t="s">
        <v>287</v>
      </c>
      <c r="E75" s="2" t="s">
        <v>306</v>
      </c>
      <c r="F75" s="2" t="s">
        <v>306</v>
      </c>
      <c r="G75" s="2" t="s">
        <v>260</v>
      </c>
      <c r="H75" s="2" t="s">
        <v>260</v>
      </c>
      <c r="K75" s="5" t="str">
        <f>CONCATENATE(Table1[[#This Row],[Lead UKGI Contact Forename]],".",Table1[[#This Row],[Lead UKGI Contact Surname]],"@ukgi.org.uk")</f>
        <v>.@ukgi.org.uk</v>
      </c>
    </row>
    <row r="76" spans="1:11" hidden="1" x14ac:dyDescent="0.2">
      <c r="A76" s="4" t="s">
        <v>307</v>
      </c>
      <c r="B76" s="4" t="s">
        <v>98</v>
      </c>
      <c r="C76" s="4"/>
      <c r="D76" s="4" t="s">
        <v>211</v>
      </c>
      <c r="E76" s="2" t="s">
        <v>308</v>
      </c>
      <c r="F76" s="2" t="s">
        <v>308</v>
      </c>
      <c r="G76" s="2" t="s">
        <v>260</v>
      </c>
      <c r="H76" s="2" t="s">
        <v>260</v>
      </c>
      <c r="K76" s="5" t="str">
        <f>CONCATENATE(Table1[[#This Row],[Lead UKGI Contact Forename]],".",Table1[[#This Row],[Lead UKGI Contact Surname]],"@ukgi.org.uk")</f>
        <v>.@ukgi.org.uk</v>
      </c>
    </row>
    <row r="77" spans="1:11" ht="25.5" hidden="1" x14ac:dyDescent="0.2">
      <c r="A77" s="4" t="s">
        <v>309</v>
      </c>
      <c r="B77" s="4" t="s">
        <v>310</v>
      </c>
      <c r="C77" s="4"/>
      <c r="D77" s="4" t="s">
        <v>211</v>
      </c>
      <c r="E77" s="2" t="s">
        <v>311</v>
      </c>
      <c r="F77" s="2" t="s">
        <v>311</v>
      </c>
      <c r="G77" s="2" t="s">
        <v>260</v>
      </c>
      <c r="H77" s="2" t="s">
        <v>260</v>
      </c>
      <c r="K77" s="5" t="str">
        <f>CONCATENATE(Table1[[#This Row],[Lead UKGI Contact Forename]],".",Table1[[#This Row],[Lead UKGI Contact Surname]],"@ukgi.org.uk")</f>
        <v>.@ukgi.org.uk</v>
      </c>
    </row>
    <row r="78" spans="1:11" hidden="1" x14ac:dyDescent="0.2">
      <c r="A78" s="4" t="s">
        <v>312</v>
      </c>
      <c r="B78" s="4" t="s">
        <v>313</v>
      </c>
      <c r="C78" s="4"/>
      <c r="D78" s="4" t="s">
        <v>211</v>
      </c>
      <c r="E78" s="2" t="s">
        <v>314</v>
      </c>
      <c r="F78" s="2" t="s">
        <v>314</v>
      </c>
      <c r="G78" s="2" t="s">
        <v>260</v>
      </c>
      <c r="H78" s="2" t="s">
        <v>260</v>
      </c>
      <c r="K78" s="5" t="str">
        <f>CONCATENATE(Table1[[#This Row],[Lead UKGI Contact Forename]],".",Table1[[#This Row],[Lead UKGI Contact Surname]],"@ukgi.org.uk")</f>
        <v>.@ukgi.org.uk</v>
      </c>
    </row>
    <row r="79" spans="1:11" hidden="1" x14ac:dyDescent="0.2">
      <c r="A79" s="4" t="s">
        <v>315</v>
      </c>
      <c r="B79" s="4" t="s">
        <v>316</v>
      </c>
      <c r="C79" s="4"/>
      <c r="D79" s="4" t="s">
        <v>211</v>
      </c>
      <c r="E79" s="2" t="s">
        <v>317</v>
      </c>
      <c r="F79" s="2" t="s">
        <v>317</v>
      </c>
      <c r="G79" s="2" t="s">
        <v>260</v>
      </c>
      <c r="H79" s="2" t="s">
        <v>260</v>
      </c>
      <c r="K79" s="5" t="str">
        <f>CONCATENATE(Table1[[#This Row],[Lead UKGI Contact Forename]],".",Table1[[#This Row],[Lead UKGI Contact Surname]],"@ukgi.org.uk")</f>
        <v>.@ukgi.org.uk</v>
      </c>
    </row>
    <row r="80" spans="1:11" hidden="1" x14ac:dyDescent="0.2">
      <c r="A80" s="4" t="s">
        <v>318</v>
      </c>
      <c r="B80" s="4" t="s">
        <v>121</v>
      </c>
      <c r="C80" s="4"/>
      <c r="D80" s="4" t="s">
        <v>319</v>
      </c>
      <c r="E80" s="2" t="s">
        <v>320</v>
      </c>
      <c r="F80" s="2" t="s">
        <v>320</v>
      </c>
      <c r="G80" s="2" t="s">
        <v>260</v>
      </c>
      <c r="H80" s="2" t="s">
        <v>260</v>
      </c>
      <c r="K80" s="5" t="str">
        <f>CONCATENATE(Table1[[#This Row],[Lead UKGI Contact Forename]],".",Table1[[#This Row],[Lead UKGI Contact Surname]],"@ukgi.org.uk")</f>
        <v>.@ukgi.org.uk</v>
      </c>
    </row>
    <row r="81" spans="1:11" ht="25.5" hidden="1" x14ac:dyDescent="0.2">
      <c r="A81" s="4" t="s">
        <v>321</v>
      </c>
      <c r="B81" s="4" t="s">
        <v>305</v>
      </c>
      <c r="C81" s="4"/>
      <c r="D81" s="4" t="s">
        <v>322</v>
      </c>
      <c r="E81" s="2" t="s">
        <v>323</v>
      </c>
      <c r="F81" s="2" t="s">
        <v>323</v>
      </c>
      <c r="G81" s="2" t="s">
        <v>260</v>
      </c>
      <c r="H81" s="2" t="s">
        <v>260</v>
      </c>
      <c r="K81" s="5" t="str">
        <f>CONCATENATE(Table1[[#This Row],[Lead UKGI Contact Forename]],".",Table1[[#This Row],[Lead UKGI Contact Surname]],"@ukgi.org.uk")</f>
        <v>.@ukgi.org.uk</v>
      </c>
    </row>
    <row r="82" spans="1:11" hidden="1" x14ac:dyDescent="0.2">
      <c r="A82" s="4" t="s">
        <v>324</v>
      </c>
      <c r="B82" s="4" t="s">
        <v>325</v>
      </c>
      <c r="C82" s="4"/>
      <c r="D82" s="4" t="s">
        <v>291</v>
      </c>
      <c r="E82" s="2" t="s">
        <v>320</v>
      </c>
      <c r="F82" s="2" t="s">
        <v>320</v>
      </c>
      <c r="G82" s="2" t="s">
        <v>260</v>
      </c>
      <c r="H82" s="2" t="s">
        <v>260</v>
      </c>
      <c r="K82" s="5" t="str">
        <f>CONCATENATE(Table1[[#This Row],[Lead UKGI Contact Forename]],".",Table1[[#This Row],[Lead UKGI Contact Surname]],"@ukgi.org.uk")</f>
        <v>.@ukgi.org.uk</v>
      </c>
    </row>
    <row r="83" spans="1:11" hidden="1" x14ac:dyDescent="0.2">
      <c r="A83" s="4" t="s">
        <v>326</v>
      </c>
      <c r="B83" s="4" t="s">
        <v>139</v>
      </c>
      <c r="C83" s="4"/>
      <c r="D83" s="4" t="s">
        <v>301</v>
      </c>
      <c r="E83" s="2" t="s">
        <v>327</v>
      </c>
      <c r="F83" s="2" t="s">
        <v>327</v>
      </c>
      <c r="G83" s="2" t="s">
        <v>260</v>
      </c>
      <c r="H83" s="2" t="s">
        <v>260</v>
      </c>
      <c r="K83" s="5" t="str">
        <f>CONCATENATE(Table1[[#This Row],[Lead UKGI Contact Forename]],".",Table1[[#This Row],[Lead UKGI Contact Surname]],"@ukgi.org.uk")</f>
        <v>.@ukgi.org.uk</v>
      </c>
    </row>
    <row r="84" spans="1:11" hidden="1" x14ac:dyDescent="0.2">
      <c r="A84" s="4" t="s">
        <v>328</v>
      </c>
      <c r="B84" s="4" t="s">
        <v>121</v>
      </c>
      <c r="C84" s="4"/>
      <c r="D84" s="4" t="s">
        <v>329</v>
      </c>
      <c r="E84" s="2" t="s">
        <v>330</v>
      </c>
      <c r="F84" s="2" t="s">
        <v>330</v>
      </c>
      <c r="G84" s="2" t="s">
        <v>260</v>
      </c>
      <c r="H84" s="2" t="s">
        <v>260</v>
      </c>
      <c r="K84" s="5" t="str">
        <f>CONCATENATE(Table1[[#This Row],[Lead UKGI Contact Forename]],".",Table1[[#This Row],[Lead UKGI Contact Surname]],"@ukgi.org.uk")</f>
        <v>.@ukgi.org.uk</v>
      </c>
    </row>
    <row r="85" spans="1:11" hidden="1" x14ac:dyDescent="0.2">
      <c r="A85" s="4" t="s">
        <v>331</v>
      </c>
      <c r="B85" s="4" t="s">
        <v>332</v>
      </c>
      <c r="C85" s="4"/>
      <c r="D85" s="4" t="s">
        <v>211</v>
      </c>
      <c r="E85" s="2" t="s">
        <v>333</v>
      </c>
      <c r="F85" s="2" t="s">
        <v>333</v>
      </c>
      <c r="G85" s="2" t="s">
        <v>260</v>
      </c>
      <c r="H85" s="2" t="s">
        <v>260</v>
      </c>
      <c r="K85" s="5" t="str">
        <f>CONCATENATE(Table1[[#This Row],[Lead UKGI Contact Forename]],".",Table1[[#This Row],[Lead UKGI Contact Surname]],"@ukgi.org.uk")</f>
        <v>.@ukgi.org.uk</v>
      </c>
    </row>
    <row r="86" spans="1:11" hidden="1" x14ac:dyDescent="0.2">
      <c r="A86" s="4" t="s">
        <v>334</v>
      </c>
      <c r="B86" s="4" t="s">
        <v>335</v>
      </c>
      <c r="C86" s="4"/>
      <c r="D86" s="4" t="s">
        <v>301</v>
      </c>
      <c r="E86" s="2" t="s">
        <v>336</v>
      </c>
      <c r="F86" s="2" t="s">
        <v>336</v>
      </c>
      <c r="G86" s="2" t="s">
        <v>260</v>
      </c>
      <c r="H86" s="2" t="s">
        <v>260</v>
      </c>
      <c r="K86" s="5" t="str">
        <f>CONCATENATE(Table1[[#This Row],[Lead UKGI Contact Forename]],".",Table1[[#This Row],[Lead UKGI Contact Surname]],"@ukgi.org.uk")</f>
        <v>.@ukgi.org.uk</v>
      </c>
    </row>
    <row r="87" spans="1:11" hidden="1" x14ac:dyDescent="0.2">
      <c r="A87" s="4" t="s">
        <v>337</v>
      </c>
      <c r="B87" s="4" t="s">
        <v>286</v>
      </c>
      <c r="C87" s="4"/>
      <c r="D87" s="4" t="s">
        <v>319</v>
      </c>
      <c r="E87" s="2" t="s">
        <v>338</v>
      </c>
      <c r="F87" s="2" t="s">
        <v>339</v>
      </c>
      <c r="G87" s="2" t="s">
        <v>260</v>
      </c>
      <c r="H87" s="2" t="s">
        <v>260</v>
      </c>
      <c r="K87" s="5" t="str">
        <f>CONCATENATE(Table1[[#This Row],[Lead UKGI Contact Forename]],".",Table1[[#This Row],[Lead UKGI Contact Surname]],"@ukgi.org.uk")</f>
        <v>.@ukgi.org.uk</v>
      </c>
    </row>
    <row r="88" spans="1:11" ht="25.5" hidden="1" x14ac:dyDescent="0.2">
      <c r="A88" s="4" t="s">
        <v>340</v>
      </c>
      <c r="B88" s="4" t="s">
        <v>155</v>
      </c>
      <c r="C88" s="4"/>
      <c r="D88" s="4" t="s">
        <v>322</v>
      </c>
      <c r="E88" s="2" t="s">
        <v>341</v>
      </c>
      <c r="F88" s="2" t="s">
        <v>341</v>
      </c>
      <c r="G88" s="2" t="s">
        <v>260</v>
      </c>
      <c r="H88" s="2" t="s">
        <v>260</v>
      </c>
      <c r="K88" s="5" t="str">
        <f>CONCATENATE(Table1[[#This Row],[Lead UKGI Contact Forename]],".",Table1[[#This Row],[Lead UKGI Contact Surname]],"@ukgi.org.uk")</f>
        <v>.@ukgi.org.uk</v>
      </c>
    </row>
    <row r="89" spans="1:11" ht="25.5" hidden="1" x14ac:dyDescent="0.2">
      <c r="A89" s="4" t="s">
        <v>342</v>
      </c>
      <c r="B89" s="4" t="s">
        <v>343</v>
      </c>
      <c r="C89" s="4"/>
      <c r="D89" s="4" t="s">
        <v>287</v>
      </c>
      <c r="E89" s="2" t="s">
        <v>344</v>
      </c>
      <c r="F89" s="2" t="s">
        <v>345</v>
      </c>
      <c r="G89" s="2" t="s">
        <v>260</v>
      </c>
      <c r="H89" s="2" t="s">
        <v>260</v>
      </c>
      <c r="K89" s="5" t="str">
        <f>CONCATENATE(Table1[[#This Row],[Lead UKGI Contact Forename]],".",Table1[[#This Row],[Lead UKGI Contact Surname]],"@ukgi.org.uk")</f>
        <v>.@ukgi.org.uk</v>
      </c>
    </row>
    <row r="90" spans="1:11" hidden="1" x14ac:dyDescent="0.2">
      <c r="A90" s="4" t="s">
        <v>346</v>
      </c>
      <c r="B90" s="4" t="s">
        <v>347</v>
      </c>
      <c r="C90" s="4"/>
      <c r="D90" s="4" t="s">
        <v>211</v>
      </c>
      <c r="E90" s="2" t="s">
        <v>348</v>
      </c>
      <c r="F90" s="2" t="s">
        <v>348</v>
      </c>
      <c r="G90" s="2" t="s">
        <v>260</v>
      </c>
      <c r="H90" s="2" t="s">
        <v>260</v>
      </c>
      <c r="K90" s="5" t="str">
        <f>CONCATENATE(Table1[[#This Row],[Lead UKGI Contact Forename]],".",Table1[[#This Row],[Lead UKGI Contact Surname]],"@ukgi.org.uk")</f>
        <v>.@ukgi.org.uk</v>
      </c>
    </row>
    <row r="91" spans="1:11" hidden="1" x14ac:dyDescent="0.2">
      <c r="A91" s="4" t="s">
        <v>349</v>
      </c>
      <c r="B91" s="4" t="s">
        <v>350</v>
      </c>
      <c r="C91" s="4"/>
      <c r="D91" s="4" t="s">
        <v>322</v>
      </c>
      <c r="E91" s="2" t="s">
        <v>314</v>
      </c>
      <c r="F91" s="2" t="s">
        <v>314</v>
      </c>
      <c r="G91" s="2" t="s">
        <v>260</v>
      </c>
      <c r="H91" s="2" t="s">
        <v>260</v>
      </c>
      <c r="K91" s="5" t="str">
        <f>CONCATENATE(Table1[[#This Row],[Lead UKGI Contact Forename]],".",Table1[[#This Row],[Lead UKGI Contact Surname]],"@ukgi.org.uk")</f>
        <v>.@ukgi.org.uk</v>
      </c>
    </row>
    <row r="92" spans="1:11" hidden="1" x14ac:dyDescent="0.2">
      <c r="A92" s="4" t="s">
        <v>351</v>
      </c>
      <c r="B92" s="4" t="s">
        <v>265</v>
      </c>
      <c r="C92" s="4"/>
      <c r="D92" s="4" t="s">
        <v>211</v>
      </c>
      <c r="E92" s="2" t="s">
        <v>314</v>
      </c>
      <c r="F92" s="2" t="s">
        <v>314</v>
      </c>
      <c r="G92" s="2" t="s">
        <v>260</v>
      </c>
      <c r="H92" s="2" t="s">
        <v>260</v>
      </c>
      <c r="K92" s="5" t="str">
        <f>CONCATENATE(Table1[[#This Row],[Lead UKGI Contact Forename]],".",Table1[[#This Row],[Lead UKGI Contact Surname]],"@ukgi.org.uk")</f>
        <v>.@ukgi.org.uk</v>
      </c>
    </row>
    <row r="93" spans="1:11" hidden="1" x14ac:dyDescent="0.2">
      <c r="A93" s="4" t="s">
        <v>352</v>
      </c>
      <c r="B93" s="4" t="s">
        <v>303</v>
      </c>
      <c r="C93" s="4"/>
      <c r="D93" s="4" t="s">
        <v>211</v>
      </c>
      <c r="E93" s="2" t="s">
        <v>353</v>
      </c>
      <c r="F93" s="2" t="s">
        <v>353</v>
      </c>
      <c r="G93" s="2" t="s">
        <v>260</v>
      </c>
      <c r="H93" s="2" t="s">
        <v>260</v>
      </c>
      <c r="K93" s="5" t="str">
        <f>CONCATENATE(Table1[[#This Row],[Lead UKGI Contact Forename]],".",Table1[[#This Row],[Lead UKGI Contact Surname]],"@ukgi.org.uk")</f>
        <v>.@ukgi.org.uk</v>
      </c>
    </row>
    <row r="94" spans="1:11" hidden="1" x14ac:dyDescent="0.2">
      <c r="A94" s="4" t="s">
        <v>354</v>
      </c>
      <c r="B94" s="4" t="s">
        <v>316</v>
      </c>
      <c r="C94" s="4"/>
      <c r="D94" s="4" t="s">
        <v>319</v>
      </c>
      <c r="E94" s="2" t="s">
        <v>355</v>
      </c>
      <c r="F94" s="2" t="s">
        <v>355</v>
      </c>
      <c r="G94" s="2" t="s">
        <v>260</v>
      </c>
      <c r="H94" s="2" t="s">
        <v>260</v>
      </c>
      <c r="K94" s="5" t="str">
        <f>CONCATENATE(Table1[[#This Row],[Lead UKGI Contact Forename]],".",Table1[[#This Row],[Lead UKGI Contact Surname]],"@ukgi.org.uk")</f>
        <v>.@ukgi.org.uk</v>
      </c>
    </row>
    <row r="95" spans="1:11" ht="25.5" hidden="1" x14ac:dyDescent="0.2">
      <c r="A95" s="4" t="s">
        <v>356</v>
      </c>
      <c r="B95" s="4" t="s">
        <v>121</v>
      </c>
      <c r="C95" s="4"/>
      <c r="D95" s="4" t="s">
        <v>301</v>
      </c>
      <c r="E95" s="2" t="s">
        <v>357</v>
      </c>
      <c r="F95" s="2" t="s">
        <v>357</v>
      </c>
      <c r="G95" s="2" t="s">
        <v>260</v>
      </c>
      <c r="H95" s="2" t="s">
        <v>260</v>
      </c>
      <c r="K95" s="5" t="str">
        <f>CONCATENATE(Table1[[#This Row],[Lead UKGI Contact Forename]],".",Table1[[#This Row],[Lead UKGI Contact Surname]],"@ukgi.org.uk")</f>
        <v>.@ukgi.org.uk</v>
      </c>
    </row>
    <row r="96" spans="1:11" ht="25.5" hidden="1" x14ac:dyDescent="0.2">
      <c r="A96" s="4" t="s">
        <v>358</v>
      </c>
      <c r="B96" s="4" t="s">
        <v>359</v>
      </c>
      <c r="C96" s="4"/>
      <c r="D96" s="4" t="s">
        <v>291</v>
      </c>
      <c r="E96" s="2" t="s">
        <v>360</v>
      </c>
      <c r="F96" s="2" t="s">
        <v>360</v>
      </c>
      <c r="G96" s="2" t="s">
        <v>260</v>
      </c>
      <c r="H96" s="2" t="s">
        <v>260</v>
      </c>
      <c r="K96" s="5" t="str">
        <f>CONCATENATE(Table1[[#This Row],[Lead UKGI Contact Forename]],".",Table1[[#This Row],[Lead UKGI Contact Surname]],"@ukgi.org.uk")</f>
        <v>.@ukgi.org.uk</v>
      </c>
    </row>
    <row r="97" spans="1:11" ht="25.5" hidden="1" x14ac:dyDescent="0.2">
      <c r="A97" s="4" t="s">
        <v>361</v>
      </c>
      <c r="B97" s="4" t="s">
        <v>142</v>
      </c>
      <c r="C97" s="4"/>
      <c r="D97" s="4" t="s">
        <v>322</v>
      </c>
      <c r="E97" s="2" t="s">
        <v>362</v>
      </c>
      <c r="F97" s="2" t="s">
        <v>362</v>
      </c>
      <c r="G97" s="2" t="s">
        <v>260</v>
      </c>
      <c r="H97" s="2" t="s">
        <v>260</v>
      </c>
      <c r="K97" s="5" t="str">
        <f>CONCATENATE(Table1[[#This Row],[Lead UKGI Contact Forename]],".",Table1[[#This Row],[Lead UKGI Contact Surname]],"@ukgi.org.uk")</f>
        <v>.@ukgi.org.uk</v>
      </c>
    </row>
    <row r="98" spans="1:11" hidden="1" x14ac:dyDescent="0.2">
      <c r="A98" s="4" t="s">
        <v>363</v>
      </c>
      <c r="B98" s="4" t="s">
        <v>364</v>
      </c>
      <c r="C98" s="4"/>
      <c r="D98" s="4" t="s">
        <v>301</v>
      </c>
      <c r="E98" s="2" t="s">
        <v>365</v>
      </c>
      <c r="F98" s="2" t="s">
        <v>366</v>
      </c>
      <c r="G98" s="2" t="s">
        <v>260</v>
      </c>
      <c r="H98" s="2" t="s">
        <v>260</v>
      </c>
      <c r="K98" s="5" t="str">
        <f>CONCATENATE(Table1[[#This Row],[Lead UKGI Contact Forename]],".",Table1[[#This Row],[Lead UKGI Contact Surname]],"@ukgi.org.uk")</f>
        <v>.@ukgi.org.uk</v>
      </c>
    </row>
    <row r="99" spans="1:11" hidden="1" x14ac:dyDescent="0.2">
      <c r="A99" s="4" t="s">
        <v>367</v>
      </c>
      <c r="B99" s="4" t="s">
        <v>98</v>
      </c>
      <c r="C99" s="4"/>
      <c r="D99" s="4" t="s">
        <v>287</v>
      </c>
      <c r="E99" s="2" t="s">
        <v>368</v>
      </c>
      <c r="F99" s="2" t="s">
        <v>368</v>
      </c>
      <c r="G99" s="2" t="s">
        <v>260</v>
      </c>
      <c r="H99" s="2" t="s">
        <v>260</v>
      </c>
      <c r="K99" s="5" t="str">
        <f>CONCATENATE(Table1[[#This Row],[Lead UKGI Contact Forename]],".",Table1[[#This Row],[Lead UKGI Contact Surname]],"@ukgi.org.uk")</f>
        <v>.@ukgi.org.uk</v>
      </c>
    </row>
    <row r="100" spans="1:11" hidden="1" x14ac:dyDescent="0.2">
      <c r="A100" s="4" t="s">
        <v>369</v>
      </c>
      <c r="B100" s="4" t="s">
        <v>139</v>
      </c>
      <c r="C100" s="4"/>
      <c r="D100" s="4" t="s">
        <v>287</v>
      </c>
      <c r="E100" s="2" t="s">
        <v>370</v>
      </c>
      <c r="F100" s="2" t="s">
        <v>370</v>
      </c>
      <c r="G100" s="2" t="s">
        <v>260</v>
      </c>
      <c r="H100" s="2" t="s">
        <v>260</v>
      </c>
      <c r="K100" s="5" t="str">
        <f>CONCATENATE(Table1[[#This Row],[Lead UKGI Contact Forename]],".",Table1[[#This Row],[Lead UKGI Contact Surname]],"@ukgi.org.uk")</f>
        <v>.@ukgi.org.uk</v>
      </c>
    </row>
    <row r="101" spans="1:11" hidden="1" x14ac:dyDescent="0.2">
      <c r="A101" s="4" t="s">
        <v>371</v>
      </c>
      <c r="B101" s="4" t="s">
        <v>155</v>
      </c>
      <c r="C101" s="4"/>
      <c r="D101" s="4" t="s">
        <v>291</v>
      </c>
      <c r="E101" s="2" t="s">
        <v>372</v>
      </c>
      <c r="F101" s="2" t="s">
        <v>372</v>
      </c>
      <c r="G101" s="2" t="s">
        <v>260</v>
      </c>
      <c r="H101" s="2" t="s">
        <v>260</v>
      </c>
      <c r="K101" s="5" t="str">
        <f>CONCATENATE(Table1[[#This Row],[Lead UKGI Contact Forename]],".",Table1[[#This Row],[Lead UKGI Contact Surname]],"@ukgi.org.uk")</f>
        <v>.@ukgi.org.uk</v>
      </c>
    </row>
    <row r="102" spans="1:11" hidden="1" x14ac:dyDescent="0.2">
      <c r="A102" s="4" t="s">
        <v>373</v>
      </c>
      <c r="B102" s="4" t="s">
        <v>325</v>
      </c>
      <c r="C102" s="4"/>
      <c r="D102" s="4" t="s">
        <v>287</v>
      </c>
      <c r="E102" s="2" t="s">
        <v>302</v>
      </c>
      <c r="F102" s="2" t="s">
        <v>302</v>
      </c>
      <c r="G102" s="2" t="s">
        <v>260</v>
      </c>
      <c r="H102" s="2" t="s">
        <v>260</v>
      </c>
      <c r="K102" s="5" t="str">
        <f>CONCATENATE(Table1[[#This Row],[Lead UKGI Contact Forename]],".",Table1[[#This Row],[Lead UKGI Contact Surname]],"@ukgi.org.uk")</f>
        <v>.@ukgi.org.uk</v>
      </c>
    </row>
    <row r="103" spans="1:11" ht="25.5" hidden="1" x14ac:dyDescent="0.2">
      <c r="A103" s="4" t="s">
        <v>374</v>
      </c>
      <c r="B103" s="4" t="s">
        <v>178</v>
      </c>
      <c r="C103" s="4"/>
      <c r="D103" s="4" t="s">
        <v>287</v>
      </c>
      <c r="E103" s="2" t="s">
        <v>375</v>
      </c>
      <c r="F103" s="2" t="s">
        <v>375</v>
      </c>
      <c r="G103" s="2" t="s">
        <v>260</v>
      </c>
      <c r="H103" s="2" t="s">
        <v>260</v>
      </c>
      <c r="K103" s="5" t="str">
        <f>CONCATENATE(Table1[[#This Row],[Lead UKGI Contact Forename]],".",Table1[[#This Row],[Lead UKGI Contact Surname]],"@ukgi.org.uk")</f>
        <v>.@ukgi.org.uk</v>
      </c>
    </row>
    <row r="104" spans="1:11" ht="25.5" hidden="1" x14ac:dyDescent="0.2">
      <c r="A104" s="4" t="s">
        <v>376</v>
      </c>
      <c r="B104" s="4" t="s">
        <v>377</v>
      </c>
      <c r="C104" s="4"/>
      <c r="D104" s="4" t="s">
        <v>297</v>
      </c>
      <c r="E104" s="2" t="s">
        <v>378</v>
      </c>
      <c r="F104" s="2" t="s">
        <v>378</v>
      </c>
      <c r="G104" s="2" t="s">
        <v>260</v>
      </c>
      <c r="H104" s="2" t="s">
        <v>260</v>
      </c>
      <c r="K104" s="5" t="str">
        <f>CONCATENATE(Table1[[#This Row],[Lead UKGI Contact Forename]],".",Table1[[#This Row],[Lead UKGI Contact Surname]],"@ukgi.org.uk")</f>
        <v>.@ukgi.org.uk</v>
      </c>
    </row>
    <row r="105" spans="1:11" hidden="1" x14ac:dyDescent="0.2">
      <c r="A105" s="4" t="s">
        <v>379</v>
      </c>
      <c r="B105" s="4" t="s">
        <v>155</v>
      </c>
      <c r="C105" s="4"/>
      <c r="D105" s="4" t="s">
        <v>287</v>
      </c>
      <c r="E105" s="2" t="s">
        <v>380</v>
      </c>
      <c r="F105" s="2" t="s">
        <v>380</v>
      </c>
      <c r="G105" s="2" t="s">
        <v>260</v>
      </c>
      <c r="H105" s="2" t="s">
        <v>260</v>
      </c>
      <c r="K105" s="5" t="str">
        <f>CONCATENATE(Table1[[#This Row],[Lead UKGI Contact Forename]],".",Table1[[#This Row],[Lead UKGI Contact Surname]],"@ukgi.org.uk")</f>
        <v>.@ukgi.org.uk</v>
      </c>
    </row>
    <row r="106" spans="1:11" hidden="1" x14ac:dyDescent="0.2">
      <c r="A106" s="4" t="s">
        <v>381</v>
      </c>
      <c r="B106" s="4" t="s">
        <v>382</v>
      </c>
      <c r="C106" s="4"/>
      <c r="D106" s="4" t="s">
        <v>383</v>
      </c>
      <c r="E106" s="2" t="s">
        <v>384</v>
      </c>
      <c r="F106" s="2" t="s">
        <v>385</v>
      </c>
      <c r="G106" s="2" t="s">
        <v>260</v>
      </c>
      <c r="H106" s="2" t="s">
        <v>260</v>
      </c>
      <c r="K106" s="5" t="str">
        <f>CONCATENATE(Table1[[#This Row],[Lead UKGI Contact Forename]],".",Table1[[#This Row],[Lead UKGI Contact Surname]],"@ukgi.org.uk")</f>
        <v>.@ukgi.org.uk</v>
      </c>
    </row>
    <row r="107" spans="1:11" ht="25.5" hidden="1" x14ac:dyDescent="0.2">
      <c r="A107" s="4" t="s">
        <v>386</v>
      </c>
      <c r="B107" s="4" t="s">
        <v>387</v>
      </c>
      <c r="C107" s="4"/>
      <c r="D107" s="4" t="s">
        <v>211</v>
      </c>
      <c r="E107" s="2" t="s">
        <v>388</v>
      </c>
      <c r="F107" s="2" t="s">
        <v>388</v>
      </c>
      <c r="G107" s="2" t="s">
        <v>260</v>
      </c>
      <c r="H107" s="2" t="s">
        <v>260</v>
      </c>
      <c r="K107" s="5" t="str">
        <f>CONCATENATE(Table1[[#This Row],[Lead UKGI Contact Forename]],".",Table1[[#This Row],[Lead UKGI Contact Surname]],"@ukgi.org.uk")</f>
        <v>.@ukgi.org.uk</v>
      </c>
    </row>
    <row r="108" spans="1:11" hidden="1" x14ac:dyDescent="0.2">
      <c r="A108" s="4" t="s">
        <v>389</v>
      </c>
      <c r="B108" s="4" t="s">
        <v>155</v>
      </c>
      <c r="C108" s="4"/>
      <c r="D108" s="4" t="s">
        <v>297</v>
      </c>
      <c r="E108" s="2" t="s">
        <v>390</v>
      </c>
      <c r="F108" s="2" t="s">
        <v>390</v>
      </c>
      <c r="G108" s="2" t="s">
        <v>260</v>
      </c>
      <c r="H108" s="2" t="s">
        <v>260</v>
      </c>
      <c r="K108" s="5" t="str">
        <f>CONCATENATE(Table1[[#This Row],[Lead UKGI Contact Forename]],".",Table1[[#This Row],[Lead UKGI Contact Surname]],"@ukgi.org.uk")</f>
        <v>.@ukgi.org.uk</v>
      </c>
    </row>
    <row r="109" spans="1:11" hidden="1" x14ac:dyDescent="0.2">
      <c r="A109" s="4" t="s">
        <v>391</v>
      </c>
      <c r="B109" s="4" t="s">
        <v>392</v>
      </c>
      <c r="C109" s="4"/>
      <c r="D109" s="4" t="s">
        <v>287</v>
      </c>
      <c r="E109" s="2" t="s">
        <v>393</v>
      </c>
      <c r="F109" s="2" t="s">
        <v>393</v>
      </c>
      <c r="G109" s="2" t="s">
        <v>260</v>
      </c>
      <c r="H109" s="2" t="s">
        <v>260</v>
      </c>
      <c r="K109" s="5" t="str">
        <f>CONCATENATE(Table1[[#This Row],[Lead UKGI Contact Forename]],".",Table1[[#This Row],[Lead UKGI Contact Surname]],"@ukgi.org.uk")</f>
        <v>.@ukgi.org.uk</v>
      </c>
    </row>
    <row r="110" spans="1:11" ht="63.75" hidden="1" x14ac:dyDescent="0.2">
      <c r="A110" s="4" t="s">
        <v>394</v>
      </c>
      <c r="B110" s="4" t="s">
        <v>395</v>
      </c>
      <c r="C110" s="4"/>
      <c r="D110" s="4" t="s">
        <v>37</v>
      </c>
      <c r="E110" s="2" t="s">
        <v>396</v>
      </c>
      <c r="F110" s="2" t="s">
        <v>397</v>
      </c>
      <c r="G110" s="2" t="s">
        <v>260</v>
      </c>
      <c r="H110" s="2" t="s">
        <v>398</v>
      </c>
      <c r="K110" s="5" t="str">
        <f>CONCATENATE(Table1[[#This Row],[Lead UKGI Contact Forename]],".",Table1[[#This Row],[Lead UKGI Contact Surname]],"@ukgi.org.uk")</f>
        <v>.@ukgi.org.uk</v>
      </c>
    </row>
    <row r="111" spans="1:11" ht="89.25" hidden="1" x14ac:dyDescent="0.2">
      <c r="A111" s="4" t="s">
        <v>399</v>
      </c>
      <c r="B111" s="4" t="s">
        <v>400</v>
      </c>
      <c r="C111" s="4"/>
      <c r="D111" s="4" t="s">
        <v>37</v>
      </c>
      <c r="E111" s="2" t="s">
        <v>401</v>
      </c>
      <c r="F111" s="2" t="s">
        <v>402</v>
      </c>
      <c r="G111" s="2" t="s">
        <v>260</v>
      </c>
      <c r="H111" s="2" t="s">
        <v>398</v>
      </c>
      <c r="K111" s="5" t="str">
        <f>CONCATENATE(Table1[[#This Row],[Lead UKGI Contact Forename]],".",Table1[[#This Row],[Lead UKGI Contact Surname]],"@ukgi.org.uk")</f>
        <v>.@ukgi.org.uk</v>
      </c>
    </row>
    <row r="112" spans="1:11" ht="25.5" hidden="1" x14ac:dyDescent="0.2">
      <c r="A112" s="4" t="s">
        <v>142</v>
      </c>
      <c r="B112" s="4" t="s">
        <v>403</v>
      </c>
      <c r="C112" s="4"/>
      <c r="D112" s="4" t="s">
        <v>37</v>
      </c>
      <c r="E112" s="2" t="s">
        <v>404</v>
      </c>
      <c r="F112" s="2" t="s">
        <v>405</v>
      </c>
      <c r="G112" s="2" t="s">
        <v>260</v>
      </c>
      <c r="H112" s="2" t="s">
        <v>398</v>
      </c>
      <c r="K112" s="5" t="str">
        <f>CONCATENATE(Table1[[#This Row],[Lead UKGI Contact Forename]],".",Table1[[#This Row],[Lead UKGI Contact Surname]],"@ukgi.org.uk")</f>
        <v>.@ukgi.org.uk</v>
      </c>
    </row>
    <row r="113" spans="1:11" ht="25.5" hidden="1" x14ac:dyDescent="0.2">
      <c r="A113" s="4" t="s">
        <v>406</v>
      </c>
      <c r="B113" s="4" t="s">
        <v>247</v>
      </c>
      <c r="C113" s="4"/>
      <c r="D113" s="4" t="s">
        <v>37</v>
      </c>
      <c r="E113" s="2" t="s">
        <v>407</v>
      </c>
      <c r="F113" s="2" t="s">
        <v>408</v>
      </c>
      <c r="G113" s="2" t="s">
        <v>260</v>
      </c>
      <c r="H113" s="2" t="s">
        <v>398</v>
      </c>
      <c r="K113" s="5" t="str">
        <f>CONCATENATE(Table1[[#This Row],[Lead UKGI Contact Forename]],".",Table1[[#This Row],[Lead UKGI Contact Surname]],"@ukgi.org.uk")</f>
        <v>.@ukgi.org.uk</v>
      </c>
    </row>
    <row r="114" spans="1:11" hidden="1" x14ac:dyDescent="0.2">
      <c r="A114" s="4" t="s">
        <v>409</v>
      </c>
      <c r="B114" s="4" t="s">
        <v>410</v>
      </c>
      <c r="C114" s="4"/>
      <c r="D114" s="4" t="s">
        <v>110</v>
      </c>
      <c r="E114" s="2" t="s">
        <v>248</v>
      </c>
      <c r="F114" s="2" t="s">
        <v>411</v>
      </c>
      <c r="G114" s="2" t="s">
        <v>412</v>
      </c>
      <c r="H114" s="2" t="s">
        <v>413</v>
      </c>
      <c r="K114" s="5" t="str">
        <f>CONCATENATE(Table1[[#This Row],[Lead UKGI Contact Forename]],".",Table1[[#This Row],[Lead UKGI Contact Surname]],"@ukgi.org.uk")</f>
        <v>.@ukgi.org.uk</v>
      </c>
    </row>
    <row r="115" spans="1:11" hidden="1" x14ac:dyDescent="0.2">
      <c r="A115" s="4" t="s">
        <v>414</v>
      </c>
      <c r="B115" s="4" t="s">
        <v>415</v>
      </c>
      <c r="C115" s="4"/>
      <c r="D115" s="4" t="s">
        <v>37</v>
      </c>
      <c r="E115" s="2" t="s">
        <v>416</v>
      </c>
      <c r="F115" s="2" t="s">
        <v>417</v>
      </c>
      <c r="G115" s="2" t="s">
        <v>412</v>
      </c>
      <c r="H115" s="2" t="s">
        <v>413</v>
      </c>
      <c r="K115" s="5" t="str">
        <f>CONCATENATE(Table1[[#This Row],[Lead UKGI Contact Forename]],".",Table1[[#This Row],[Lead UKGI Contact Surname]],"@ukgi.org.uk")</f>
        <v>.@ukgi.org.uk</v>
      </c>
    </row>
    <row r="116" spans="1:11" x14ac:dyDescent="0.2">
      <c r="A116" s="4" t="s">
        <v>418</v>
      </c>
      <c r="B116" s="4" t="s">
        <v>419</v>
      </c>
      <c r="C116" s="4"/>
      <c r="D116" s="4" t="s">
        <v>148</v>
      </c>
      <c r="E116" s="2" t="s">
        <v>420</v>
      </c>
      <c r="F116" s="2" t="s">
        <v>421</v>
      </c>
      <c r="G116" s="2" t="s">
        <v>422</v>
      </c>
      <c r="H116" s="2" t="s">
        <v>422</v>
      </c>
      <c r="K116" s="5" t="str">
        <f>CONCATENATE(Table1[[#This Row],[Lead UKGI Contact Forename]],".",Table1[[#This Row],[Lead UKGI Contact Surname]],"@ukgi.org.uk")</f>
        <v>.@ukgi.org.uk</v>
      </c>
    </row>
    <row r="117" spans="1:11" ht="25.5" hidden="1" x14ac:dyDescent="0.2">
      <c r="A117" s="4" t="s">
        <v>423</v>
      </c>
      <c r="B117" s="4" t="s">
        <v>114</v>
      </c>
      <c r="C117" s="4"/>
      <c r="D117" s="4" t="s">
        <v>110</v>
      </c>
      <c r="E117" s="2" t="s">
        <v>424</v>
      </c>
      <c r="F117" s="2" t="s">
        <v>425</v>
      </c>
      <c r="G117" s="2" t="s">
        <v>422</v>
      </c>
      <c r="H117" s="2" t="s">
        <v>422</v>
      </c>
      <c r="K117" s="5" t="str">
        <f>CONCATENATE(Table1[[#This Row],[Lead UKGI Contact Forename]],".",Table1[[#This Row],[Lead UKGI Contact Surname]],"@ukgi.org.uk")</f>
        <v>.@ukgi.org.uk</v>
      </c>
    </row>
    <row r="118" spans="1:11" ht="25.5" hidden="1" x14ac:dyDescent="0.2">
      <c r="A118" s="4" t="s">
        <v>134</v>
      </c>
      <c r="B118" s="4" t="s">
        <v>343</v>
      </c>
      <c r="C118" s="4"/>
      <c r="D118" s="4" t="s">
        <v>110</v>
      </c>
      <c r="E118" s="2" t="s">
        <v>426</v>
      </c>
      <c r="F118" s="2" t="s">
        <v>427</v>
      </c>
      <c r="G118" s="2" t="s">
        <v>422</v>
      </c>
      <c r="H118" s="2" t="s">
        <v>422</v>
      </c>
      <c r="K118" s="5" t="str">
        <f>CONCATENATE(Table1[[#This Row],[Lead UKGI Contact Forename]],".",Table1[[#This Row],[Lead UKGI Contact Surname]],"@ukgi.org.uk")</f>
        <v>.@ukgi.org.uk</v>
      </c>
    </row>
    <row r="119" spans="1:11" ht="76.5" hidden="1" x14ac:dyDescent="0.2">
      <c r="A119" s="4" t="s">
        <v>428</v>
      </c>
      <c r="B119" s="4" t="s">
        <v>429</v>
      </c>
      <c r="C119" s="4"/>
      <c r="D119" s="4" t="s">
        <v>110</v>
      </c>
      <c r="E119" s="2" t="s">
        <v>149</v>
      </c>
      <c r="F119" s="2" t="s">
        <v>430</v>
      </c>
      <c r="G119" s="2" t="s">
        <v>431</v>
      </c>
      <c r="H119" s="2" t="s">
        <v>432</v>
      </c>
      <c r="K119" s="5" t="str">
        <f>CONCATENATE(Table1[[#This Row],[Lead UKGI Contact Forename]],".",Table1[[#This Row],[Lead UKGI Contact Surname]],"@ukgi.org.uk")</f>
        <v>.@ukgi.org.uk</v>
      </c>
    </row>
    <row r="120" spans="1:11" x14ac:dyDescent="0.2">
      <c r="A120" s="4" t="s">
        <v>433</v>
      </c>
      <c r="B120" s="4" t="s">
        <v>434</v>
      </c>
      <c r="C120" s="4"/>
      <c r="D120" s="4" t="s">
        <v>148</v>
      </c>
      <c r="E120" s="2" t="s">
        <v>149</v>
      </c>
      <c r="F120" s="2" t="s">
        <v>234</v>
      </c>
      <c r="G120" s="2" t="s">
        <v>431</v>
      </c>
      <c r="H120" s="2" t="s">
        <v>435</v>
      </c>
      <c r="K120" s="5" t="str">
        <f>CONCATENATE(Table1[[#This Row],[Lead UKGI Contact Forename]],".",Table1[[#This Row],[Lead UKGI Contact Surname]],"@ukgi.org.uk")</f>
        <v>.@ukgi.org.uk</v>
      </c>
    </row>
    <row r="121" spans="1:11" hidden="1" x14ac:dyDescent="0.2">
      <c r="A121" s="4" t="s">
        <v>436</v>
      </c>
      <c r="B121" s="4" t="s">
        <v>155</v>
      </c>
      <c r="C121" s="4"/>
      <c r="D121" s="4" t="s">
        <v>37</v>
      </c>
      <c r="E121" s="2" t="s">
        <v>437</v>
      </c>
      <c r="F121" s="2" t="s">
        <v>438</v>
      </c>
      <c r="G121" s="2" t="s">
        <v>431</v>
      </c>
      <c r="H121" s="2" t="s">
        <v>435</v>
      </c>
      <c r="K121" s="5" t="str">
        <f>CONCATENATE(Table1[[#This Row],[Lead UKGI Contact Forename]],".",Table1[[#This Row],[Lead UKGI Contact Surname]],"@ukgi.org.uk")</f>
        <v>.@ukgi.org.uk</v>
      </c>
    </row>
    <row r="122" spans="1:11" hidden="1" x14ac:dyDescent="0.2">
      <c r="A122" s="4" t="s">
        <v>439</v>
      </c>
      <c r="B122" s="4" t="s">
        <v>155</v>
      </c>
      <c r="C122" s="4"/>
      <c r="D122" s="4" t="s">
        <v>143</v>
      </c>
      <c r="E122" s="2" t="s">
        <v>440</v>
      </c>
      <c r="F122" s="2" t="s">
        <v>143</v>
      </c>
      <c r="G122" s="2" t="s">
        <v>431</v>
      </c>
      <c r="H122" s="2" t="s">
        <v>435</v>
      </c>
      <c r="K122" s="5" t="str">
        <f>CONCATENATE(Table1[[#This Row],[Lead UKGI Contact Forename]],".",Table1[[#This Row],[Lead UKGI Contact Surname]],"@ukgi.org.uk")</f>
        <v>.@ukgi.org.uk</v>
      </c>
    </row>
    <row r="123" spans="1:11" ht="38.25" x14ac:dyDescent="0.2">
      <c r="A123" s="4" t="s">
        <v>441</v>
      </c>
      <c r="B123" s="4" t="s">
        <v>103</v>
      </c>
      <c r="C123" s="4"/>
      <c r="D123" s="4" t="s">
        <v>148</v>
      </c>
      <c r="E123" s="2" t="s">
        <v>442</v>
      </c>
      <c r="F123" s="2" t="s">
        <v>443</v>
      </c>
      <c r="G123" s="2" t="s">
        <v>431</v>
      </c>
      <c r="H123" s="2" t="s">
        <v>444</v>
      </c>
      <c r="K123" s="5" t="str">
        <f>CONCATENATE(Table1[[#This Row],[Lead UKGI Contact Forename]],".",Table1[[#This Row],[Lead UKGI Contact Surname]],"@ukgi.org.uk")</f>
        <v>.@ukgi.org.uk</v>
      </c>
    </row>
    <row r="124" spans="1:11" ht="38.25" hidden="1" x14ac:dyDescent="0.2">
      <c r="A124" s="4" t="s">
        <v>445</v>
      </c>
      <c r="B124" s="4" t="s">
        <v>103</v>
      </c>
      <c r="C124" s="4"/>
      <c r="D124" s="4" t="s">
        <v>37</v>
      </c>
      <c r="E124" s="2" t="s">
        <v>446</v>
      </c>
      <c r="F124" s="2" t="s">
        <v>447</v>
      </c>
      <c r="G124" s="2" t="s">
        <v>431</v>
      </c>
      <c r="H124" s="2" t="s">
        <v>431</v>
      </c>
      <c r="K124" s="5" t="str">
        <f>CONCATENATE(Table1[[#This Row],[Lead UKGI Contact Forename]],".",Table1[[#This Row],[Lead UKGI Contact Surname]],"@ukgi.org.uk")</f>
        <v>.@ukgi.org.uk</v>
      </c>
    </row>
    <row r="125" spans="1:11" ht="25.5" hidden="1" x14ac:dyDescent="0.2">
      <c r="A125" s="4" t="s">
        <v>448</v>
      </c>
      <c r="B125" s="4" t="s">
        <v>449</v>
      </c>
      <c r="C125" s="4"/>
      <c r="D125" s="4" t="s">
        <v>110</v>
      </c>
      <c r="E125" s="2" t="s">
        <v>450</v>
      </c>
      <c r="F125" s="2" t="s">
        <v>451</v>
      </c>
      <c r="G125" s="2" t="s">
        <v>431</v>
      </c>
      <c r="H125" s="2" t="s">
        <v>431</v>
      </c>
      <c r="K125" s="5" t="str">
        <f>CONCATENATE(Table1[[#This Row],[Lead UKGI Contact Forename]],".",Table1[[#This Row],[Lead UKGI Contact Surname]],"@ukgi.org.uk")</f>
        <v>.@ukgi.org.uk</v>
      </c>
    </row>
    <row r="126" spans="1:11" ht="25.5" hidden="1" x14ac:dyDescent="0.2">
      <c r="A126" s="4" t="s">
        <v>452</v>
      </c>
      <c r="B126" s="4" t="s">
        <v>265</v>
      </c>
      <c r="C126" s="4"/>
      <c r="D126" s="4" t="s">
        <v>110</v>
      </c>
      <c r="E126" s="2" t="s">
        <v>453</v>
      </c>
      <c r="F126" s="2" t="s">
        <v>454</v>
      </c>
      <c r="G126" s="2" t="s">
        <v>431</v>
      </c>
      <c r="H126" s="2" t="s">
        <v>431</v>
      </c>
      <c r="K126" s="5" t="str">
        <f>CONCATENATE(Table1[[#This Row],[Lead UKGI Contact Forename]],".",Table1[[#This Row],[Lead UKGI Contact Surname]],"@ukgi.org.uk")</f>
        <v>.@ukgi.org.uk</v>
      </c>
    </row>
    <row r="127" spans="1:11" x14ac:dyDescent="0.2">
      <c r="A127" s="4" t="s">
        <v>243</v>
      </c>
      <c r="B127" s="4" t="s">
        <v>455</v>
      </c>
      <c r="C127" s="4"/>
      <c r="D127" s="4" t="s">
        <v>148</v>
      </c>
      <c r="E127" s="2" t="s">
        <v>456</v>
      </c>
      <c r="F127" s="2" t="s">
        <v>457</v>
      </c>
      <c r="G127" s="2" t="s">
        <v>431</v>
      </c>
      <c r="H127" s="2" t="s">
        <v>431</v>
      </c>
      <c r="K127" s="5" t="str">
        <f>CONCATENATE(Table1[[#This Row],[Lead UKGI Contact Forename]],".",Table1[[#This Row],[Lead UKGI Contact Surname]],"@ukgi.org.uk")</f>
        <v>.@ukgi.org.uk</v>
      </c>
    </row>
    <row r="128" spans="1:11" x14ac:dyDescent="0.2">
      <c r="A128" s="4" t="s">
        <v>458</v>
      </c>
      <c r="B128" s="4" t="s">
        <v>459</v>
      </c>
      <c r="C128" s="4"/>
      <c r="D128" s="4" t="s">
        <v>148</v>
      </c>
      <c r="E128" s="2" t="s">
        <v>460</v>
      </c>
      <c r="F128" s="2" t="s">
        <v>457</v>
      </c>
      <c r="G128" s="2" t="s">
        <v>431</v>
      </c>
      <c r="H128" s="2" t="s">
        <v>431</v>
      </c>
      <c r="K128" s="5" t="str">
        <f>CONCATENATE(Table1[[#This Row],[Lead UKGI Contact Forename]],".",Table1[[#This Row],[Lead UKGI Contact Surname]],"@ukgi.org.uk")</f>
        <v>.@ukgi.org.uk</v>
      </c>
    </row>
    <row r="129" spans="1:11" ht="63.75" x14ac:dyDescent="0.2">
      <c r="A129" s="4" t="s">
        <v>461</v>
      </c>
      <c r="B129" s="4" t="s">
        <v>300</v>
      </c>
      <c r="C129" s="4"/>
      <c r="D129" s="4" t="s">
        <v>148</v>
      </c>
      <c r="E129" s="2" t="s">
        <v>234</v>
      </c>
      <c r="F129" s="2" t="s">
        <v>462</v>
      </c>
      <c r="G129" s="2" t="s">
        <v>431</v>
      </c>
      <c r="H129" s="2" t="s">
        <v>463</v>
      </c>
      <c r="K129" s="5" t="str">
        <f>CONCATENATE(Table1[[#This Row],[Lead UKGI Contact Forename]],".",Table1[[#This Row],[Lead UKGI Contact Surname]],"@ukgi.org.uk")</f>
        <v>.@ukgi.org.uk</v>
      </c>
    </row>
    <row r="130" spans="1:11" ht="51" hidden="1" x14ac:dyDescent="0.2">
      <c r="A130" s="4" t="s">
        <v>464</v>
      </c>
      <c r="B130" s="4" t="s">
        <v>325</v>
      </c>
      <c r="C130" s="4"/>
      <c r="D130" s="4" t="s">
        <v>37</v>
      </c>
      <c r="E130" s="2" t="s">
        <v>465</v>
      </c>
      <c r="F130" s="2" t="s">
        <v>466</v>
      </c>
      <c r="G130" s="2" t="s">
        <v>431</v>
      </c>
      <c r="H130" s="2" t="s">
        <v>463</v>
      </c>
      <c r="K130" s="5" t="str">
        <f>CONCATENATE(Table1[[#This Row],[Lead UKGI Contact Forename]],".",Table1[[#This Row],[Lead UKGI Contact Surname]],"@ukgi.org.uk")</f>
        <v>.@ukgi.org.uk</v>
      </c>
    </row>
    <row r="131" spans="1:11" ht="51" hidden="1" x14ac:dyDescent="0.2">
      <c r="A131" s="4" t="s">
        <v>467</v>
      </c>
      <c r="B131" s="4" t="s">
        <v>48</v>
      </c>
      <c r="C131" s="4"/>
      <c r="D131" s="4" t="s">
        <v>110</v>
      </c>
      <c r="E131" s="2" t="s">
        <v>468</v>
      </c>
      <c r="F131" s="2" t="s">
        <v>469</v>
      </c>
      <c r="G131" s="2" t="s">
        <v>431</v>
      </c>
      <c r="H131" s="2" t="s">
        <v>463</v>
      </c>
      <c r="K131" s="5" t="str">
        <f>CONCATENATE(Table1[[#This Row],[Lead UKGI Contact Forename]],".",Table1[[#This Row],[Lead UKGI Contact Surname]],"@ukgi.org.uk")</f>
        <v>.@ukgi.org.uk</v>
      </c>
    </row>
    <row r="132" spans="1:11" ht="51" hidden="1" x14ac:dyDescent="0.2">
      <c r="A132" s="4" t="s">
        <v>470</v>
      </c>
      <c r="B132" s="4" t="s">
        <v>275</v>
      </c>
      <c r="C132" s="4"/>
      <c r="D132" s="4" t="s">
        <v>37</v>
      </c>
      <c r="E132" s="2" t="s">
        <v>471</v>
      </c>
      <c r="F132" s="2" t="s">
        <v>472</v>
      </c>
      <c r="G132" s="2" t="s">
        <v>431</v>
      </c>
      <c r="H132" s="2" t="s">
        <v>463</v>
      </c>
      <c r="K132" s="5" t="str">
        <f>CONCATENATE(Table1[[#This Row],[Lead UKGI Contact Forename]],".",Table1[[#This Row],[Lead UKGI Contact Surname]],"@ukgi.org.uk")</f>
        <v>.@ukgi.org.uk</v>
      </c>
    </row>
    <row r="133" spans="1:11" ht="51" hidden="1" x14ac:dyDescent="0.2">
      <c r="A133" s="4" t="s">
        <v>473</v>
      </c>
      <c r="B133" s="4" t="s">
        <v>382</v>
      </c>
      <c r="C133" s="4"/>
      <c r="D133" s="4" t="s">
        <v>37</v>
      </c>
      <c r="E133" s="2" t="s">
        <v>474</v>
      </c>
      <c r="F133" s="2" t="s">
        <v>475</v>
      </c>
      <c r="G133" s="2" t="s">
        <v>431</v>
      </c>
      <c r="H133" s="2" t="s">
        <v>463</v>
      </c>
      <c r="K133" s="5" t="str">
        <f>CONCATENATE(Table1[[#This Row],[Lead UKGI Contact Forename]],".",Table1[[#This Row],[Lead UKGI Contact Surname]],"@ukgi.org.uk")</f>
        <v>.@ukgi.org.uk</v>
      </c>
    </row>
    <row r="134" spans="1:11" ht="63.75" hidden="1" x14ac:dyDescent="0.2">
      <c r="A134" s="4" t="s">
        <v>476</v>
      </c>
      <c r="B134" s="4" t="s">
        <v>121</v>
      </c>
      <c r="C134" s="4"/>
      <c r="D134" s="4" t="s">
        <v>37</v>
      </c>
      <c r="E134" s="2" t="s">
        <v>477</v>
      </c>
      <c r="F134" s="2" t="s">
        <v>478</v>
      </c>
      <c r="G134" s="2" t="s">
        <v>431</v>
      </c>
      <c r="H134" s="2" t="s">
        <v>463</v>
      </c>
      <c r="K134" s="5" t="str">
        <f>CONCATENATE(Table1[[#This Row],[Lead UKGI Contact Forename]],".",Table1[[#This Row],[Lead UKGI Contact Surname]],"@ukgi.org.uk")</f>
        <v>.@ukgi.org.uk</v>
      </c>
    </row>
    <row r="135" spans="1:11" ht="76.5" hidden="1" x14ac:dyDescent="0.2">
      <c r="A135" s="4" t="s">
        <v>479</v>
      </c>
      <c r="B135" s="4" t="s">
        <v>382</v>
      </c>
      <c r="C135" s="4"/>
      <c r="D135" s="4" t="s">
        <v>37</v>
      </c>
      <c r="E135" s="2" t="s">
        <v>480</v>
      </c>
      <c r="F135" s="2" t="s">
        <v>481</v>
      </c>
      <c r="G135" s="2" t="s">
        <v>431</v>
      </c>
      <c r="H135" s="2" t="s">
        <v>463</v>
      </c>
      <c r="K135" s="5" t="str">
        <f>CONCATENATE(Table1[[#This Row],[Lead UKGI Contact Forename]],".",Table1[[#This Row],[Lead UKGI Contact Surname]],"@ukgi.org.uk")</f>
        <v>.@ukgi.org.uk</v>
      </c>
    </row>
    <row r="136" spans="1:11" ht="89.25" hidden="1" x14ac:dyDescent="0.2">
      <c r="A136" s="4" t="s">
        <v>482</v>
      </c>
      <c r="B136" s="4" t="s">
        <v>483</v>
      </c>
      <c r="C136" s="4"/>
      <c r="D136" s="4" t="s">
        <v>37</v>
      </c>
      <c r="E136" s="2" t="s">
        <v>484</v>
      </c>
      <c r="F136" s="2" t="s">
        <v>485</v>
      </c>
      <c r="G136" s="2" t="s">
        <v>431</v>
      </c>
      <c r="H136" s="2" t="s">
        <v>463</v>
      </c>
      <c r="K136" s="5" t="str">
        <f>CONCATENATE(Table1[[#This Row],[Lead UKGI Contact Forename]],".",Table1[[#This Row],[Lead UKGI Contact Surname]],"@ukgi.org.uk")</f>
        <v>.@ukgi.org.uk</v>
      </c>
    </row>
    <row r="137" spans="1:11" ht="63.75" hidden="1" x14ac:dyDescent="0.2">
      <c r="A137" s="4" t="s">
        <v>89</v>
      </c>
      <c r="B137" s="4" t="s">
        <v>486</v>
      </c>
      <c r="C137" s="4"/>
      <c r="D137" s="4" t="s">
        <v>37</v>
      </c>
      <c r="E137" s="2" t="s">
        <v>487</v>
      </c>
      <c r="F137" s="2" t="s">
        <v>488</v>
      </c>
      <c r="G137" s="2" t="s">
        <v>431</v>
      </c>
      <c r="H137" s="2" t="s">
        <v>463</v>
      </c>
      <c r="K137" s="5" t="str">
        <f>CONCATENATE(Table1[[#This Row],[Lead UKGI Contact Forename]],".",Table1[[#This Row],[Lead UKGI Contact Surname]],"@ukgi.org.uk")</f>
        <v>.@ukgi.org.uk</v>
      </c>
    </row>
    <row r="138" spans="1:11" ht="76.5" hidden="1" x14ac:dyDescent="0.2">
      <c r="A138" s="4" t="s">
        <v>371</v>
      </c>
      <c r="B138" s="4" t="s">
        <v>489</v>
      </c>
      <c r="C138" s="4"/>
      <c r="D138" s="4" t="s">
        <v>37</v>
      </c>
      <c r="E138" s="2" t="s">
        <v>490</v>
      </c>
      <c r="F138" s="2" t="s">
        <v>491</v>
      </c>
      <c r="G138" s="2" t="s">
        <v>431</v>
      </c>
      <c r="H138" s="2" t="s">
        <v>463</v>
      </c>
      <c r="K138" s="5" t="str">
        <f>CONCATENATE(Table1[[#This Row],[Lead UKGI Contact Forename]],".",Table1[[#This Row],[Lead UKGI Contact Surname]],"@ukgi.org.uk")</f>
        <v>.@ukgi.org.uk</v>
      </c>
    </row>
    <row r="139" spans="1:11" ht="38.25" hidden="1" x14ac:dyDescent="0.2">
      <c r="A139" s="4" t="s">
        <v>492</v>
      </c>
      <c r="B139" s="4" t="s">
        <v>300</v>
      </c>
      <c r="C139" s="4"/>
      <c r="D139" s="4" t="s">
        <v>37</v>
      </c>
      <c r="E139" s="2" t="s">
        <v>493</v>
      </c>
      <c r="F139" s="2" t="s">
        <v>494</v>
      </c>
      <c r="G139" s="2" t="s">
        <v>431</v>
      </c>
      <c r="H139" s="2" t="s">
        <v>463</v>
      </c>
      <c r="K139" s="5" t="str">
        <f>CONCATENATE(Table1[[#This Row],[Lead UKGI Contact Forename]],".",Table1[[#This Row],[Lead UKGI Contact Surname]],"@ukgi.org.uk")</f>
        <v>.@ukgi.org.uk</v>
      </c>
    </row>
    <row r="140" spans="1:11" ht="51" hidden="1" x14ac:dyDescent="0.2">
      <c r="A140" s="4" t="s">
        <v>495</v>
      </c>
      <c r="B140" s="4" t="s">
        <v>496</v>
      </c>
      <c r="C140" s="4"/>
      <c r="D140" s="4" t="s">
        <v>37</v>
      </c>
      <c r="E140" s="2" t="s">
        <v>497</v>
      </c>
      <c r="F140" s="2" t="s">
        <v>498</v>
      </c>
      <c r="G140" s="2" t="s">
        <v>431</v>
      </c>
      <c r="H140" s="2" t="s">
        <v>463</v>
      </c>
      <c r="K140" s="5" t="str">
        <f>CONCATENATE(Table1[[#This Row],[Lead UKGI Contact Forename]],".",Table1[[#This Row],[Lead UKGI Contact Surname]],"@ukgi.org.uk")</f>
        <v>.@ukgi.org.uk</v>
      </c>
    </row>
    <row r="141" spans="1:11" hidden="1" x14ac:dyDescent="0.2">
      <c r="A141" s="4" t="s">
        <v>499</v>
      </c>
      <c r="B141" s="4" t="s">
        <v>103</v>
      </c>
      <c r="C141" s="4"/>
      <c r="D141" s="4" t="s">
        <v>37</v>
      </c>
      <c r="E141" s="2" t="s">
        <v>500</v>
      </c>
      <c r="F141" s="2" t="s">
        <v>501</v>
      </c>
      <c r="G141" s="2" t="s">
        <v>431</v>
      </c>
      <c r="H141" s="2" t="s">
        <v>463</v>
      </c>
      <c r="K141" s="5" t="str">
        <f>CONCATENATE(Table1[[#This Row],[Lead UKGI Contact Forename]],".",Table1[[#This Row],[Lead UKGI Contact Surname]],"@ukgi.org.uk")</f>
        <v>.@ukgi.org.uk</v>
      </c>
    </row>
    <row r="142" spans="1:11" ht="38.25" hidden="1" x14ac:dyDescent="0.2">
      <c r="A142" s="4" t="s">
        <v>502</v>
      </c>
      <c r="B142" s="4" t="s">
        <v>247</v>
      </c>
      <c r="C142" s="4"/>
      <c r="D142" s="4" t="s">
        <v>37</v>
      </c>
      <c r="E142" s="2" t="s">
        <v>503</v>
      </c>
      <c r="F142" s="2" t="s">
        <v>504</v>
      </c>
      <c r="G142" s="2" t="s">
        <v>431</v>
      </c>
      <c r="H142" s="2" t="s">
        <v>463</v>
      </c>
      <c r="K142" s="5" t="str">
        <f>CONCATENATE(Table1[[#This Row],[Lead UKGI Contact Forename]],".",Table1[[#This Row],[Lead UKGI Contact Surname]],"@ukgi.org.uk")</f>
        <v>.@ukgi.org.uk</v>
      </c>
    </row>
    <row r="143" spans="1:11" ht="38.25" hidden="1" x14ac:dyDescent="0.2">
      <c r="A143" s="4" t="s">
        <v>505</v>
      </c>
      <c r="B143" s="4" t="s">
        <v>51</v>
      </c>
      <c r="C143" s="4"/>
      <c r="D143" s="4" t="s">
        <v>37</v>
      </c>
      <c r="E143" s="2" t="s">
        <v>506</v>
      </c>
      <c r="F143" s="2" t="s">
        <v>507</v>
      </c>
      <c r="G143" s="2" t="s">
        <v>431</v>
      </c>
      <c r="H143" s="2" t="s">
        <v>463</v>
      </c>
      <c r="K143" s="5" t="str">
        <f>CONCATENATE(Table1[[#This Row],[Lead UKGI Contact Forename]],".",Table1[[#This Row],[Lead UKGI Contact Surname]],"@ukgi.org.uk")</f>
        <v>.@ukgi.org.uk</v>
      </c>
    </row>
    <row r="144" spans="1:11" ht="25.5" hidden="1" x14ac:dyDescent="0.2">
      <c r="A144" s="4" t="s">
        <v>508</v>
      </c>
      <c r="B144" s="4" t="s">
        <v>286</v>
      </c>
      <c r="C144" s="4"/>
      <c r="D144" s="4" t="s">
        <v>37</v>
      </c>
      <c r="E144" s="2" t="s">
        <v>509</v>
      </c>
      <c r="F144" s="2" t="s">
        <v>510</v>
      </c>
      <c r="G144" s="2" t="s">
        <v>431</v>
      </c>
      <c r="H144" s="2" t="s">
        <v>463</v>
      </c>
      <c r="K144" s="5" t="str">
        <f>CONCATENATE(Table1[[#This Row],[Lead UKGI Contact Forename]],".",Table1[[#This Row],[Lead UKGI Contact Surname]],"@ukgi.org.uk")</f>
        <v>.@ukgi.org.uk</v>
      </c>
    </row>
    <row r="145" spans="1:11" ht="63.75" hidden="1" x14ac:dyDescent="0.2">
      <c r="A145" s="4" t="s">
        <v>511</v>
      </c>
      <c r="B145" s="4" t="s">
        <v>512</v>
      </c>
      <c r="C145" s="4"/>
      <c r="D145" s="4" t="s">
        <v>45</v>
      </c>
      <c r="E145" s="2" t="s">
        <v>513</v>
      </c>
      <c r="F145" s="2" t="s">
        <v>514</v>
      </c>
      <c r="G145" s="2" t="s">
        <v>431</v>
      </c>
      <c r="H145" s="2" t="s">
        <v>463</v>
      </c>
      <c r="K145" s="5" t="str">
        <f>CONCATENATE(Table1[[#This Row],[Lead UKGI Contact Forename]],".",Table1[[#This Row],[Lead UKGI Contact Surname]],"@ukgi.org.uk")</f>
        <v>.@ukgi.org.uk</v>
      </c>
    </row>
    <row r="146" spans="1:11" ht="51" hidden="1" x14ac:dyDescent="0.2">
      <c r="A146" s="4" t="s">
        <v>515</v>
      </c>
      <c r="B146" s="4" t="s">
        <v>516</v>
      </c>
      <c r="C146" s="4"/>
      <c r="D146" s="4" t="s">
        <v>45</v>
      </c>
      <c r="E146" s="2" t="s">
        <v>517</v>
      </c>
      <c r="F146" s="2" t="s">
        <v>518</v>
      </c>
      <c r="G146" s="2" t="s">
        <v>431</v>
      </c>
      <c r="H146" s="2" t="s">
        <v>463</v>
      </c>
      <c r="K146" s="5" t="str">
        <f>CONCATENATE(Table1[[#This Row],[Lead UKGI Contact Forename]],".",Table1[[#This Row],[Lead UKGI Contact Surname]],"@ukgi.org.uk")</f>
        <v>.@ukgi.org.uk</v>
      </c>
    </row>
    <row r="147" spans="1:11" ht="51" hidden="1" x14ac:dyDescent="0.2">
      <c r="A147" s="4" t="s">
        <v>519</v>
      </c>
      <c r="B147" s="4" t="s">
        <v>103</v>
      </c>
      <c r="C147" s="4"/>
      <c r="D147" s="4" t="s">
        <v>37</v>
      </c>
      <c r="E147" s="2" t="s">
        <v>520</v>
      </c>
      <c r="F147" s="2" t="s">
        <v>521</v>
      </c>
      <c r="G147" s="2" t="s">
        <v>431</v>
      </c>
      <c r="H147" s="2" t="s">
        <v>463</v>
      </c>
      <c r="K147" s="5" t="str">
        <f>CONCATENATE(Table1[[#This Row],[Lead UKGI Contact Forename]],".",Table1[[#This Row],[Lead UKGI Contact Surname]],"@ukgi.org.uk")</f>
        <v>.@ukgi.org.uk</v>
      </c>
    </row>
    <row r="148" spans="1:11" ht="63.75" hidden="1" x14ac:dyDescent="0.2">
      <c r="A148" s="4" t="s">
        <v>522</v>
      </c>
      <c r="B148" s="4" t="s">
        <v>523</v>
      </c>
      <c r="C148" s="4"/>
      <c r="D148" s="4" t="s">
        <v>45</v>
      </c>
      <c r="E148" s="2" t="s">
        <v>524</v>
      </c>
      <c r="F148" s="2" t="s">
        <v>525</v>
      </c>
      <c r="G148" s="2" t="s">
        <v>431</v>
      </c>
      <c r="H148" s="2" t="s">
        <v>463</v>
      </c>
      <c r="K148" s="5" t="str">
        <f>CONCATENATE(Table1[[#This Row],[Lead UKGI Contact Forename]],".",Table1[[#This Row],[Lead UKGI Contact Surname]],"@ukgi.org.uk")</f>
        <v>.@ukgi.org.uk</v>
      </c>
    </row>
    <row r="149" spans="1:11" ht="51" hidden="1" x14ac:dyDescent="0.2">
      <c r="A149" s="4" t="s">
        <v>526</v>
      </c>
      <c r="B149" s="4" t="s">
        <v>527</v>
      </c>
      <c r="C149" s="4"/>
      <c r="D149" s="4" t="s">
        <v>37</v>
      </c>
      <c r="E149" s="2" t="s">
        <v>528</v>
      </c>
      <c r="F149" s="2" t="s">
        <v>529</v>
      </c>
      <c r="G149" s="2" t="s">
        <v>431</v>
      </c>
      <c r="H149" s="2" t="s">
        <v>463</v>
      </c>
      <c r="K149" s="5" t="str">
        <f>CONCATENATE(Table1[[#This Row],[Lead UKGI Contact Forename]],".",Table1[[#This Row],[Lead UKGI Contact Surname]],"@ukgi.org.uk")</f>
        <v>.@ukgi.org.uk</v>
      </c>
    </row>
    <row r="150" spans="1:11" ht="140.25" hidden="1" x14ac:dyDescent="0.2">
      <c r="A150" s="4" t="s">
        <v>530</v>
      </c>
      <c r="B150" s="4" t="s">
        <v>531</v>
      </c>
      <c r="C150" s="4"/>
      <c r="D150" s="4" t="s">
        <v>37</v>
      </c>
      <c r="E150" s="2" t="s">
        <v>532</v>
      </c>
      <c r="F150" s="2" t="s">
        <v>533</v>
      </c>
      <c r="G150" s="2" t="s">
        <v>431</v>
      </c>
      <c r="H150" s="2" t="s">
        <v>463</v>
      </c>
      <c r="K150" s="5" t="str">
        <f>CONCATENATE(Table1[[#This Row],[Lead UKGI Contact Forename]],".",Table1[[#This Row],[Lead UKGI Contact Surname]],"@ukgi.org.uk")</f>
        <v>.@ukgi.org.uk</v>
      </c>
    </row>
    <row r="151" spans="1:11" ht="63.75" hidden="1" x14ac:dyDescent="0.2">
      <c r="A151" s="4" t="s">
        <v>534</v>
      </c>
      <c r="B151" s="4" t="s">
        <v>535</v>
      </c>
      <c r="C151" s="4"/>
      <c r="D151" s="4" t="s">
        <v>37</v>
      </c>
      <c r="E151" s="2" t="s">
        <v>536</v>
      </c>
      <c r="F151" s="2" t="s">
        <v>537</v>
      </c>
      <c r="G151" s="2" t="s">
        <v>431</v>
      </c>
      <c r="H151" s="2" t="s">
        <v>463</v>
      </c>
      <c r="K151" s="5" t="str">
        <f>CONCATENATE(Table1[[#This Row],[Lead UKGI Contact Forename]],".",Table1[[#This Row],[Lead UKGI Contact Surname]],"@ukgi.org.uk")</f>
        <v>.@ukgi.org.uk</v>
      </c>
    </row>
    <row r="152" spans="1:11" ht="51" hidden="1" x14ac:dyDescent="0.2">
      <c r="A152" s="4" t="s">
        <v>369</v>
      </c>
      <c r="B152" s="4" t="s">
        <v>51</v>
      </c>
      <c r="C152" s="4"/>
      <c r="D152" s="4" t="s">
        <v>45</v>
      </c>
      <c r="E152" s="2" t="s">
        <v>538</v>
      </c>
      <c r="F152" s="2" t="s">
        <v>539</v>
      </c>
      <c r="G152" s="2" t="s">
        <v>431</v>
      </c>
      <c r="H152" s="2" t="s">
        <v>463</v>
      </c>
      <c r="K152" s="5" t="str">
        <f>CONCATENATE(Table1[[#This Row],[Lead UKGI Contact Forename]],".",Table1[[#This Row],[Lead UKGI Contact Surname]],"@ukgi.org.uk")</f>
        <v>.@ukgi.org.uk</v>
      </c>
    </row>
    <row r="153" spans="1:11" ht="38.25" hidden="1" x14ac:dyDescent="0.2">
      <c r="A153" s="4" t="s">
        <v>540</v>
      </c>
      <c r="B153" s="4" t="s">
        <v>541</v>
      </c>
      <c r="C153" s="4"/>
      <c r="D153" s="4" t="s">
        <v>45</v>
      </c>
      <c r="E153" s="2" t="s">
        <v>542</v>
      </c>
      <c r="F153" s="2" t="s">
        <v>543</v>
      </c>
      <c r="G153" s="2" t="s">
        <v>431</v>
      </c>
      <c r="H153" s="2" t="s">
        <v>463</v>
      </c>
      <c r="K153" s="5" t="str">
        <f>CONCATENATE(Table1[[#This Row],[Lead UKGI Contact Forename]],".",Table1[[#This Row],[Lead UKGI Contact Surname]],"@ukgi.org.uk")</f>
        <v>.@ukgi.org.uk</v>
      </c>
    </row>
    <row r="154" spans="1:11" ht="38.25" hidden="1" x14ac:dyDescent="0.2">
      <c r="A154" s="4" t="s">
        <v>544</v>
      </c>
      <c r="B154" s="4" t="s">
        <v>545</v>
      </c>
      <c r="C154" s="4"/>
      <c r="D154" s="4" t="s">
        <v>37</v>
      </c>
      <c r="E154" s="2" t="s">
        <v>416</v>
      </c>
      <c r="F154" s="2" t="s">
        <v>546</v>
      </c>
      <c r="G154" s="2" t="s">
        <v>431</v>
      </c>
      <c r="H154" s="2" t="s">
        <v>463</v>
      </c>
      <c r="K154" s="5" t="str">
        <f>CONCATENATE(Table1[[#This Row],[Lead UKGI Contact Forename]],".",Table1[[#This Row],[Lead UKGI Contact Surname]],"@ukgi.org.uk")</f>
        <v>.@ukgi.org.uk</v>
      </c>
    </row>
    <row r="155" spans="1:11" ht="89.25" hidden="1" x14ac:dyDescent="0.2">
      <c r="A155" s="4" t="s">
        <v>547</v>
      </c>
      <c r="B155" s="4" t="s">
        <v>197</v>
      </c>
      <c r="C155" s="4"/>
      <c r="D155" s="4" t="s">
        <v>37</v>
      </c>
      <c r="E155" s="2" t="s">
        <v>438</v>
      </c>
      <c r="F155" s="2" t="s">
        <v>548</v>
      </c>
      <c r="G155" s="2" t="s">
        <v>431</v>
      </c>
      <c r="H155" s="2" t="s">
        <v>463</v>
      </c>
      <c r="K155" s="5" t="str">
        <f>CONCATENATE(Table1[[#This Row],[Lead UKGI Contact Forename]],".",Table1[[#This Row],[Lead UKGI Contact Surname]],"@ukgi.org.uk")</f>
        <v>.@ukgi.org.uk</v>
      </c>
    </row>
    <row r="156" spans="1:11" ht="51" hidden="1" x14ac:dyDescent="0.2">
      <c r="A156" s="4" t="s">
        <v>549</v>
      </c>
      <c r="B156" s="4" t="s">
        <v>550</v>
      </c>
      <c r="C156" s="4"/>
      <c r="D156" s="4" t="s">
        <v>45</v>
      </c>
      <c r="E156" s="2" t="s">
        <v>551</v>
      </c>
      <c r="F156" s="2" t="s">
        <v>552</v>
      </c>
      <c r="G156" s="2" t="s">
        <v>431</v>
      </c>
      <c r="H156" s="2" t="s">
        <v>463</v>
      </c>
      <c r="K156" s="5" t="str">
        <f>CONCATENATE(Table1[[#This Row],[Lead UKGI Contact Forename]],".",Table1[[#This Row],[Lead UKGI Contact Surname]],"@ukgi.org.uk")</f>
        <v>.@ukgi.org.uk</v>
      </c>
    </row>
    <row r="157" spans="1:11" ht="63.75" hidden="1" x14ac:dyDescent="0.2">
      <c r="A157" s="4" t="s">
        <v>553</v>
      </c>
      <c r="B157" s="4" t="s">
        <v>554</v>
      </c>
      <c r="C157" s="4"/>
      <c r="D157" s="4" t="s">
        <v>45</v>
      </c>
      <c r="E157" s="2" t="s">
        <v>555</v>
      </c>
      <c r="F157" s="2" t="s">
        <v>556</v>
      </c>
      <c r="G157" s="2" t="s">
        <v>431</v>
      </c>
      <c r="H157" s="2" t="s">
        <v>463</v>
      </c>
      <c r="K157" s="5" t="str">
        <f>CONCATENATE(Table1[[#This Row],[Lead UKGI Contact Forename]],".",Table1[[#This Row],[Lead UKGI Contact Surname]],"@ukgi.org.uk")</f>
        <v>.@ukgi.org.uk</v>
      </c>
    </row>
    <row r="158" spans="1:11" ht="63.75" hidden="1" x14ac:dyDescent="0.2">
      <c r="A158" s="4" t="s">
        <v>557</v>
      </c>
      <c r="B158" s="4" t="s">
        <v>303</v>
      </c>
      <c r="C158" s="4"/>
      <c r="D158" s="4" t="s">
        <v>45</v>
      </c>
      <c r="E158" s="2" t="s">
        <v>558</v>
      </c>
      <c r="F158" s="2" t="s">
        <v>559</v>
      </c>
      <c r="G158" s="2" t="s">
        <v>431</v>
      </c>
      <c r="H158" s="2" t="s">
        <v>463</v>
      </c>
      <c r="K158" s="5" t="str">
        <f>CONCATENATE(Table1[[#This Row],[Lead UKGI Contact Forename]],".",Table1[[#This Row],[Lead UKGI Contact Surname]],"@ukgi.org.uk")</f>
        <v>.@ukgi.org.uk</v>
      </c>
    </row>
    <row r="159" spans="1:11" ht="51" hidden="1" x14ac:dyDescent="0.2">
      <c r="A159" s="4" t="s">
        <v>560</v>
      </c>
      <c r="B159" s="4" t="s">
        <v>561</v>
      </c>
      <c r="C159" s="4"/>
      <c r="D159" s="4" t="s">
        <v>45</v>
      </c>
      <c r="E159" s="2" t="s">
        <v>562</v>
      </c>
      <c r="F159" s="2" t="s">
        <v>563</v>
      </c>
      <c r="G159" s="2" t="s">
        <v>431</v>
      </c>
      <c r="H159" s="2" t="s">
        <v>463</v>
      </c>
      <c r="K159" s="5" t="str">
        <f>CONCATENATE(Table1[[#This Row],[Lead UKGI Contact Forename]],".",Table1[[#This Row],[Lead UKGI Contact Surname]],"@ukgi.org.uk")</f>
        <v>.@ukgi.org.uk</v>
      </c>
    </row>
    <row r="160" spans="1:11" hidden="1" x14ac:dyDescent="0.2">
      <c r="A160" s="4" t="s">
        <v>564</v>
      </c>
      <c r="B160" s="4" t="s">
        <v>400</v>
      </c>
      <c r="C160" s="4"/>
      <c r="D160" s="4" t="s">
        <v>45</v>
      </c>
      <c r="E160" s="2" t="s">
        <v>565</v>
      </c>
      <c r="F160" s="2" t="s">
        <v>566</v>
      </c>
      <c r="G160" s="2" t="s">
        <v>431</v>
      </c>
      <c r="H160" s="2" t="s">
        <v>463</v>
      </c>
      <c r="K160" s="5" t="str">
        <f>CONCATENATE(Table1[[#This Row],[Lead UKGI Contact Forename]],".",Table1[[#This Row],[Lead UKGI Contact Surname]],"@ukgi.org.uk")</f>
        <v>.@ukgi.org.uk</v>
      </c>
    </row>
    <row r="161" spans="1:11" hidden="1" x14ac:dyDescent="0.2">
      <c r="A161" s="4" t="s">
        <v>567</v>
      </c>
      <c r="B161" s="4" t="s">
        <v>382</v>
      </c>
      <c r="C161" s="4"/>
      <c r="D161" s="4" t="s">
        <v>45</v>
      </c>
      <c r="E161" s="2" t="s">
        <v>568</v>
      </c>
      <c r="F161" s="2" t="s">
        <v>569</v>
      </c>
      <c r="G161" s="2" t="s">
        <v>431</v>
      </c>
      <c r="H161" s="2" t="s">
        <v>463</v>
      </c>
      <c r="K161" s="5" t="str">
        <f>CONCATENATE(Table1[[#This Row],[Lead UKGI Contact Forename]],".",Table1[[#This Row],[Lead UKGI Contact Surname]],"@ukgi.org.uk")</f>
        <v>.@ukgi.org.uk</v>
      </c>
    </row>
    <row r="162" spans="1:11" ht="51" hidden="1" x14ac:dyDescent="0.2">
      <c r="A162" s="4" t="s">
        <v>237</v>
      </c>
      <c r="B162" s="4" t="s">
        <v>325</v>
      </c>
      <c r="C162" s="4"/>
      <c r="D162" s="4" t="s">
        <v>45</v>
      </c>
      <c r="E162" s="2" t="s">
        <v>570</v>
      </c>
      <c r="F162" s="2" t="s">
        <v>571</v>
      </c>
      <c r="G162" s="2" t="s">
        <v>431</v>
      </c>
      <c r="H162" s="2" t="s">
        <v>463</v>
      </c>
      <c r="K162" s="5" t="str">
        <f>CONCATENATE(Table1[[#This Row],[Lead UKGI Contact Forename]],".",Table1[[#This Row],[Lead UKGI Contact Surname]],"@ukgi.org.uk")</f>
        <v>.@ukgi.org.uk</v>
      </c>
    </row>
    <row r="163" spans="1:11" ht="38.25" hidden="1" x14ac:dyDescent="0.2">
      <c r="A163" s="4" t="s">
        <v>572</v>
      </c>
      <c r="B163" s="4" t="s">
        <v>152</v>
      </c>
      <c r="C163" s="4"/>
      <c r="D163" s="4" t="s">
        <v>45</v>
      </c>
      <c r="E163" s="2" t="s">
        <v>573</v>
      </c>
      <c r="F163" s="2" t="s">
        <v>574</v>
      </c>
      <c r="G163" s="2" t="s">
        <v>431</v>
      </c>
      <c r="H163" s="2" t="s">
        <v>463</v>
      </c>
      <c r="K163" s="5" t="str">
        <f>CONCATENATE(Table1[[#This Row],[Lead UKGI Contact Forename]],".",Table1[[#This Row],[Lead UKGI Contact Surname]],"@ukgi.org.uk")</f>
        <v>.@ukgi.org.uk</v>
      </c>
    </row>
    <row r="164" spans="1:11" ht="38.25" hidden="1" x14ac:dyDescent="0.2">
      <c r="A164" s="4" t="s">
        <v>575</v>
      </c>
      <c r="B164" s="4" t="s">
        <v>114</v>
      </c>
      <c r="C164" s="4"/>
      <c r="D164" s="4" t="s">
        <v>45</v>
      </c>
      <c r="E164" s="2" t="s">
        <v>576</v>
      </c>
      <c r="F164" s="2" t="s">
        <v>577</v>
      </c>
      <c r="G164" s="2" t="s">
        <v>431</v>
      </c>
      <c r="H164" s="2" t="s">
        <v>463</v>
      </c>
      <c r="K164" s="5" t="str">
        <f>CONCATENATE(Table1[[#This Row],[Lead UKGI Contact Forename]],".",Table1[[#This Row],[Lead UKGI Contact Surname]],"@ukgi.org.uk")</f>
        <v>.@ukgi.org.uk</v>
      </c>
    </row>
    <row r="165" spans="1:11" ht="51" hidden="1" x14ac:dyDescent="0.2">
      <c r="A165" s="4" t="s">
        <v>578</v>
      </c>
      <c r="B165" s="4" t="s">
        <v>265</v>
      </c>
      <c r="C165" s="4"/>
      <c r="D165" s="4" t="s">
        <v>45</v>
      </c>
      <c r="E165" s="2" t="s">
        <v>579</v>
      </c>
      <c r="F165" s="2" t="s">
        <v>580</v>
      </c>
      <c r="G165" s="2" t="s">
        <v>431</v>
      </c>
      <c r="H165" s="2" t="s">
        <v>463</v>
      </c>
      <c r="K165" s="5" t="str">
        <f>CONCATENATE(Table1[[#This Row],[Lead UKGI Contact Forename]],".",Table1[[#This Row],[Lead UKGI Contact Surname]],"@ukgi.org.uk")</f>
        <v>.@ukgi.org.uk</v>
      </c>
    </row>
    <row r="166" spans="1:11" ht="63.75" hidden="1" x14ac:dyDescent="0.2">
      <c r="A166" s="4" t="s">
        <v>581</v>
      </c>
      <c r="B166" s="4" t="s">
        <v>155</v>
      </c>
      <c r="C166" s="4"/>
      <c r="D166" s="4" t="s">
        <v>45</v>
      </c>
      <c r="E166" s="2" t="s">
        <v>582</v>
      </c>
      <c r="F166" s="2" t="s">
        <v>583</v>
      </c>
      <c r="G166" s="2" t="s">
        <v>431</v>
      </c>
      <c r="H166" s="2" t="s">
        <v>463</v>
      </c>
      <c r="K166" s="5" t="str">
        <f>CONCATENATE(Table1[[#This Row],[Lead UKGI Contact Forename]],".",Table1[[#This Row],[Lead UKGI Contact Surname]],"@ukgi.org.uk")</f>
        <v>.@ukgi.org.uk</v>
      </c>
    </row>
    <row r="167" spans="1:11" ht="51" hidden="1" x14ac:dyDescent="0.2">
      <c r="A167" s="4" t="s">
        <v>584</v>
      </c>
      <c r="B167" s="4" t="s">
        <v>103</v>
      </c>
      <c r="C167" s="4"/>
      <c r="D167" s="4" t="s">
        <v>45</v>
      </c>
      <c r="E167" s="2" t="s">
        <v>585</v>
      </c>
      <c r="F167" s="2" t="s">
        <v>586</v>
      </c>
      <c r="G167" s="2" t="s">
        <v>431</v>
      </c>
      <c r="H167" s="2" t="s">
        <v>463</v>
      </c>
      <c r="K167" s="5" t="str">
        <f>CONCATENATE(Table1[[#This Row],[Lead UKGI Contact Forename]],".",Table1[[#This Row],[Lead UKGI Contact Surname]],"@ukgi.org.uk")</f>
        <v>.@ukgi.org.uk</v>
      </c>
    </row>
    <row r="168" spans="1:11" ht="63.75" hidden="1" x14ac:dyDescent="0.2">
      <c r="A168" s="4" t="s">
        <v>587</v>
      </c>
      <c r="B168" s="4" t="s">
        <v>265</v>
      </c>
      <c r="C168" s="4"/>
      <c r="D168" s="4" t="s">
        <v>45</v>
      </c>
      <c r="E168" s="2" t="s">
        <v>588</v>
      </c>
      <c r="F168" s="2" t="s">
        <v>589</v>
      </c>
      <c r="G168" s="2" t="s">
        <v>431</v>
      </c>
      <c r="H168" s="2" t="s">
        <v>463</v>
      </c>
      <c r="K168" s="5" t="str">
        <f>CONCATENATE(Table1[[#This Row],[Lead UKGI Contact Forename]],".",Table1[[#This Row],[Lead UKGI Contact Surname]],"@ukgi.org.uk")</f>
        <v>.@ukgi.org.uk</v>
      </c>
    </row>
    <row r="169" spans="1:11" ht="76.5" hidden="1" x14ac:dyDescent="0.2">
      <c r="A169" s="4" t="s">
        <v>590</v>
      </c>
      <c r="B169" s="4" t="s">
        <v>147</v>
      </c>
      <c r="C169" s="4"/>
      <c r="D169" s="4" t="s">
        <v>45</v>
      </c>
      <c r="E169" s="2" t="s">
        <v>591</v>
      </c>
      <c r="F169" s="2" t="s">
        <v>592</v>
      </c>
      <c r="G169" s="2" t="s">
        <v>431</v>
      </c>
      <c r="H169" s="2" t="s">
        <v>463</v>
      </c>
      <c r="K169" s="5" t="str">
        <f>CONCATENATE(Table1[[#This Row],[Lead UKGI Contact Forename]],".",Table1[[#This Row],[Lead UKGI Contact Surname]],"@ukgi.org.uk")</f>
        <v>.@ukgi.org.uk</v>
      </c>
    </row>
    <row r="170" spans="1:11" ht="38.25" hidden="1" x14ac:dyDescent="0.2">
      <c r="A170" s="4" t="s">
        <v>593</v>
      </c>
      <c r="B170" s="4" t="s">
        <v>594</v>
      </c>
      <c r="C170" s="4"/>
      <c r="D170" s="4" t="s">
        <v>45</v>
      </c>
      <c r="E170" s="2" t="s">
        <v>595</v>
      </c>
      <c r="F170" s="2" t="s">
        <v>596</v>
      </c>
      <c r="G170" s="2" t="s">
        <v>431</v>
      </c>
      <c r="H170" s="2" t="s">
        <v>463</v>
      </c>
      <c r="K170" s="5" t="str">
        <f>CONCATENATE(Table1[[#This Row],[Lead UKGI Contact Forename]],".",Table1[[#This Row],[Lead UKGI Contact Surname]],"@ukgi.org.uk")</f>
        <v>.@ukgi.org.uk</v>
      </c>
    </row>
    <row r="171" spans="1:11" ht="25.5" hidden="1" x14ac:dyDescent="0.2">
      <c r="A171" s="4" t="s">
        <v>597</v>
      </c>
      <c r="B171" s="4" t="s">
        <v>139</v>
      </c>
      <c r="C171" s="4"/>
      <c r="D171" s="4" t="s">
        <v>45</v>
      </c>
      <c r="E171" s="2" t="s">
        <v>598</v>
      </c>
      <c r="F171" s="2" t="s">
        <v>599</v>
      </c>
      <c r="G171" s="2" t="s">
        <v>431</v>
      </c>
      <c r="H171" s="2" t="s">
        <v>463</v>
      </c>
      <c r="K171" s="5" t="str">
        <f>CONCATENATE(Table1[[#This Row],[Lead UKGI Contact Forename]],".",Table1[[#This Row],[Lead UKGI Contact Surname]],"@ukgi.org.uk")</f>
        <v>.@ukgi.org.uk</v>
      </c>
    </row>
    <row r="172" spans="1:11" ht="38.25" hidden="1" x14ac:dyDescent="0.2">
      <c r="A172" s="4" t="s">
        <v>600</v>
      </c>
      <c r="B172" s="4" t="s">
        <v>601</v>
      </c>
      <c r="C172" s="4"/>
      <c r="D172" s="4" t="s">
        <v>45</v>
      </c>
      <c r="E172" s="2" t="s">
        <v>602</v>
      </c>
      <c r="F172" s="2" t="s">
        <v>603</v>
      </c>
      <c r="G172" s="2" t="s">
        <v>431</v>
      </c>
      <c r="H172" s="2" t="s">
        <v>463</v>
      </c>
      <c r="K172" s="5" t="str">
        <f>CONCATENATE(Table1[[#This Row],[Lead UKGI Contact Forename]],".",Table1[[#This Row],[Lead UKGI Contact Surname]],"@ukgi.org.uk")</f>
        <v>.@ukgi.org.uk</v>
      </c>
    </row>
    <row r="173" spans="1:11" ht="25.5" x14ac:dyDescent="0.2">
      <c r="A173" s="4" t="s">
        <v>604</v>
      </c>
      <c r="B173" s="4" t="s">
        <v>605</v>
      </c>
      <c r="C173" s="4"/>
      <c r="D173" s="4" t="s">
        <v>148</v>
      </c>
      <c r="E173" s="2" t="s">
        <v>149</v>
      </c>
      <c r="F173" s="2" t="s">
        <v>606</v>
      </c>
      <c r="G173" s="2" t="s">
        <v>431</v>
      </c>
      <c r="H173" s="2" t="s">
        <v>607</v>
      </c>
      <c r="K173" s="5" t="str">
        <f>CONCATENATE(Table1[[#This Row],[Lead UKGI Contact Forename]],".",Table1[[#This Row],[Lead UKGI Contact Surname]],"@ukgi.org.uk")</f>
        <v>.@ukgi.org.uk</v>
      </c>
    </row>
    <row r="174" spans="1:11" ht="25.5" hidden="1" x14ac:dyDescent="0.2">
      <c r="A174" s="4" t="s">
        <v>608</v>
      </c>
      <c r="B174" s="4" t="s">
        <v>609</v>
      </c>
      <c r="C174" s="4"/>
      <c r="D174" s="4" t="s">
        <v>37</v>
      </c>
      <c r="E174" s="2" t="s">
        <v>610</v>
      </c>
      <c r="F174" s="2" t="s">
        <v>611</v>
      </c>
      <c r="G174" s="2" t="s">
        <v>431</v>
      </c>
      <c r="H174" s="2" t="s">
        <v>607</v>
      </c>
      <c r="K174" s="5" t="str">
        <f>CONCATENATE(Table1[[#This Row],[Lead UKGI Contact Forename]],".",Table1[[#This Row],[Lead UKGI Contact Surname]],"@ukgi.org.uk")</f>
        <v>.@ukgi.org.uk</v>
      </c>
    </row>
    <row r="175" spans="1:11" ht="38.25" hidden="1" x14ac:dyDescent="0.2">
      <c r="A175" s="4" t="s">
        <v>612</v>
      </c>
      <c r="B175" s="4" t="s">
        <v>94</v>
      </c>
      <c r="C175" s="4"/>
      <c r="D175" s="4" t="s">
        <v>37</v>
      </c>
      <c r="E175" s="2" t="s">
        <v>613</v>
      </c>
      <c r="F175" s="2" t="s">
        <v>614</v>
      </c>
      <c r="G175" s="2" t="s">
        <v>431</v>
      </c>
      <c r="H175" s="2" t="s">
        <v>607</v>
      </c>
      <c r="K175" s="5" t="str">
        <f>CONCATENATE(Table1[[#This Row],[Lead UKGI Contact Forename]],".",Table1[[#This Row],[Lead UKGI Contact Surname]],"@ukgi.org.uk")</f>
        <v>.@ukgi.org.uk</v>
      </c>
    </row>
    <row r="176" spans="1:11" ht="51" hidden="1" x14ac:dyDescent="0.2">
      <c r="A176" s="4" t="s">
        <v>615</v>
      </c>
      <c r="B176" s="4" t="s">
        <v>152</v>
      </c>
      <c r="C176" s="4"/>
      <c r="D176" s="4" t="s">
        <v>37</v>
      </c>
      <c r="E176" s="2" t="s">
        <v>616</v>
      </c>
      <c r="F176" s="2" t="s">
        <v>617</v>
      </c>
      <c r="G176" s="2" t="s">
        <v>431</v>
      </c>
      <c r="H176" s="2" t="s">
        <v>607</v>
      </c>
      <c r="K176" s="5" t="str">
        <f>CONCATENATE(Table1[[#This Row],[Lead UKGI Contact Forename]],".",Table1[[#This Row],[Lead UKGI Contact Surname]],"@ukgi.org.uk")</f>
        <v>.@ukgi.org.uk</v>
      </c>
    </row>
    <row r="177" spans="1:11" ht="38.25" hidden="1" x14ac:dyDescent="0.2">
      <c r="A177" s="4" t="s">
        <v>618</v>
      </c>
      <c r="B177" s="4" t="s">
        <v>197</v>
      </c>
      <c r="C177" s="4"/>
      <c r="D177" s="4" t="s">
        <v>143</v>
      </c>
      <c r="E177" s="2" t="s">
        <v>143</v>
      </c>
      <c r="F177" s="2" t="s">
        <v>619</v>
      </c>
      <c r="G177" s="2" t="s">
        <v>431</v>
      </c>
      <c r="H177" s="2" t="s">
        <v>607</v>
      </c>
      <c r="K177" s="5" t="str">
        <f>CONCATENATE(Table1[[#This Row],[Lead UKGI Contact Forename]],".",Table1[[#This Row],[Lead UKGI Contact Surname]],"@ukgi.org.uk")</f>
        <v>.@ukgi.org.uk</v>
      </c>
    </row>
    <row r="178" spans="1:11" hidden="1" x14ac:dyDescent="0.2">
      <c r="A178" s="4" t="s">
        <v>620</v>
      </c>
      <c r="B178" s="4" t="s">
        <v>621</v>
      </c>
      <c r="C178" s="4"/>
      <c r="D178" s="4" t="s">
        <v>622</v>
      </c>
      <c r="E178" s="2" t="s">
        <v>144</v>
      </c>
      <c r="F178" s="2" t="s">
        <v>623</v>
      </c>
      <c r="G178" s="2" t="s">
        <v>431</v>
      </c>
      <c r="H178" s="2" t="s">
        <v>624</v>
      </c>
      <c r="K178" s="5" t="str">
        <f>CONCATENATE(Table1[[#This Row],[Lead UKGI Contact Forename]],".",Table1[[#This Row],[Lead UKGI Contact Surname]],"@ukgi.org.uk")</f>
        <v>.@ukgi.org.uk</v>
      </c>
    </row>
    <row r="179" spans="1:11" ht="25.5" hidden="1" x14ac:dyDescent="0.2">
      <c r="A179" s="4" t="s">
        <v>625</v>
      </c>
      <c r="B179" s="4" t="s">
        <v>626</v>
      </c>
      <c r="C179" s="4"/>
      <c r="D179" s="4" t="s">
        <v>627</v>
      </c>
      <c r="E179" s="2" t="s">
        <v>627</v>
      </c>
      <c r="F179" s="2" t="s">
        <v>628</v>
      </c>
      <c r="G179" s="2" t="s">
        <v>431</v>
      </c>
      <c r="H179" s="2" t="s">
        <v>629</v>
      </c>
      <c r="K179" s="5" t="str">
        <f>CONCATENATE(Table1[[#This Row],[Lead UKGI Contact Forename]],".",Table1[[#This Row],[Lead UKGI Contact Surname]],"@ukgi.org.uk")</f>
        <v>.@ukgi.org.uk</v>
      </c>
    </row>
    <row r="180" spans="1:11" ht="25.5" hidden="1" x14ac:dyDescent="0.2">
      <c r="A180" s="4" t="s">
        <v>630</v>
      </c>
      <c r="B180" s="4" t="s">
        <v>631</v>
      </c>
      <c r="C180" s="4"/>
      <c r="D180" s="4" t="s">
        <v>110</v>
      </c>
      <c r="E180" s="2" t="s">
        <v>234</v>
      </c>
      <c r="F180" s="2" t="s">
        <v>632</v>
      </c>
      <c r="G180" s="2" t="s">
        <v>431</v>
      </c>
      <c r="H180" s="2" t="s">
        <v>629</v>
      </c>
      <c r="K180" s="5" t="str">
        <f>CONCATENATE(Table1[[#This Row],[Lead UKGI Contact Forename]],".",Table1[[#This Row],[Lead UKGI Contact Surname]],"@ukgi.org.uk")</f>
        <v>.@ukgi.org.uk</v>
      </c>
    </row>
    <row r="181" spans="1:11" x14ac:dyDescent="0.2">
      <c r="A181" s="4" t="s">
        <v>633</v>
      </c>
      <c r="B181" s="4" t="s">
        <v>155</v>
      </c>
      <c r="C181" s="4"/>
      <c r="D181" s="4" t="s">
        <v>148</v>
      </c>
      <c r="E181" s="2" t="s">
        <v>234</v>
      </c>
      <c r="F181" s="2" t="s">
        <v>634</v>
      </c>
      <c r="G181" s="2" t="s">
        <v>431</v>
      </c>
      <c r="H181" s="2" t="s">
        <v>635</v>
      </c>
      <c r="K181" s="5" t="str">
        <f>CONCATENATE(Table1[[#This Row],[Lead UKGI Contact Forename]],".",Table1[[#This Row],[Lead UKGI Contact Surname]],"@ukgi.org.uk")</f>
        <v>.@ukgi.org.uk</v>
      </c>
    </row>
    <row r="182" spans="1:11" hidden="1" x14ac:dyDescent="0.2">
      <c r="A182" s="4" t="s">
        <v>636</v>
      </c>
      <c r="B182" s="4" t="s">
        <v>114</v>
      </c>
      <c r="C182" s="4"/>
      <c r="D182" s="4" t="s">
        <v>143</v>
      </c>
      <c r="E182" s="2" t="s">
        <v>143</v>
      </c>
      <c r="F182" s="2" t="s">
        <v>634</v>
      </c>
      <c r="G182" s="2" t="s">
        <v>431</v>
      </c>
      <c r="H182" s="2" t="s">
        <v>635</v>
      </c>
      <c r="K182" s="5" t="str">
        <f>CONCATENATE(Table1[[#This Row],[Lead UKGI Contact Forename]],".",Table1[[#This Row],[Lead UKGI Contact Surname]],"@ukgi.org.uk")</f>
        <v>.@ukgi.org.uk</v>
      </c>
    </row>
    <row r="183" spans="1:11" hidden="1" x14ac:dyDescent="0.2">
      <c r="A183" s="4" t="s">
        <v>637</v>
      </c>
      <c r="B183" s="4" t="s">
        <v>325</v>
      </c>
      <c r="C183" s="4"/>
      <c r="D183" s="4" t="s">
        <v>110</v>
      </c>
      <c r="E183" s="2" t="s">
        <v>638</v>
      </c>
      <c r="F183" s="2" t="s">
        <v>638</v>
      </c>
      <c r="G183" s="2" t="s">
        <v>431</v>
      </c>
      <c r="H183" s="2" t="s">
        <v>635</v>
      </c>
      <c r="K183" s="5" t="str">
        <f>CONCATENATE(Table1[[#This Row],[Lead UKGI Contact Forename]],".",Table1[[#This Row],[Lead UKGI Contact Surname]],"@ukgi.org.uk")</f>
        <v>.@ukgi.org.uk</v>
      </c>
    </row>
    <row r="184" spans="1:11" hidden="1" x14ac:dyDescent="0.2">
      <c r="A184" s="4" t="s">
        <v>639</v>
      </c>
      <c r="B184" s="4" t="s">
        <v>640</v>
      </c>
      <c r="C184" s="4"/>
      <c r="D184" s="4" t="s">
        <v>45</v>
      </c>
      <c r="E184" s="2" t="s">
        <v>641</v>
      </c>
      <c r="F184" s="2" t="s">
        <v>642</v>
      </c>
      <c r="G184" s="2" t="s">
        <v>431</v>
      </c>
      <c r="H184" s="2" t="s">
        <v>635</v>
      </c>
      <c r="K184" s="5" t="str">
        <f>CONCATENATE(Table1[[#This Row],[Lead UKGI Contact Forename]],".",Table1[[#This Row],[Lead UKGI Contact Surname]],"@ukgi.org.uk")</f>
        <v>.@ukgi.org.uk</v>
      </c>
    </row>
    <row r="185" spans="1:11" hidden="1" x14ac:dyDescent="0.2">
      <c r="A185" s="4" t="s">
        <v>643</v>
      </c>
      <c r="B185" s="4" t="s">
        <v>343</v>
      </c>
      <c r="C185" s="4"/>
      <c r="D185" s="4" t="s">
        <v>110</v>
      </c>
      <c r="E185" s="2" t="s">
        <v>644</v>
      </c>
      <c r="F185" s="2" t="s">
        <v>645</v>
      </c>
      <c r="G185" s="2" t="s">
        <v>431</v>
      </c>
      <c r="H185" s="2" t="s">
        <v>635</v>
      </c>
      <c r="K185" s="5" t="str">
        <f>CONCATENATE(Table1[[#This Row],[Lead UKGI Contact Forename]],".",Table1[[#This Row],[Lead UKGI Contact Surname]],"@ukgi.org.uk")</f>
        <v>.@ukgi.org.uk</v>
      </c>
    </row>
    <row r="186" spans="1:11" hidden="1" x14ac:dyDescent="0.2">
      <c r="A186" s="4" t="s">
        <v>495</v>
      </c>
      <c r="B186" s="4" t="s">
        <v>646</v>
      </c>
      <c r="C186" s="4"/>
      <c r="D186" s="4" t="s">
        <v>110</v>
      </c>
      <c r="E186" s="2" t="s">
        <v>647</v>
      </c>
      <c r="F186" s="2" t="s">
        <v>648</v>
      </c>
      <c r="G186" s="2" t="s">
        <v>431</v>
      </c>
      <c r="H186" s="2" t="s">
        <v>635</v>
      </c>
      <c r="K186" s="5" t="str">
        <f>CONCATENATE(Table1[[#This Row],[Lead UKGI Contact Forename]],".",Table1[[#This Row],[Lead UKGI Contact Surname]],"@ukgi.org.uk")</f>
        <v>.@ukgi.org.uk</v>
      </c>
    </row>
    <row r="187" spans="1:11" hidden="1" x14ac:dyDescent="0.2">
      <c r="A187" s="4" t="s">
        <v>649</v>
      </c>
      <c r="B187" s="4" t="s">
        <v>103</v>
      </c>
      <c r="C187" s="4"/>
      <c r="D187" s="4" t="s">
        <v>37</v>
      </c>
      <c r="E187" s="2" t="s">
        <v>650</v>
      </c>
      <c r="F187" s="2" t="s">
        <v>651</v>
      </c>
      <c r="G187" s="2" t="s">
        <v>431</v>
      </c>
      <c r="H187" s="2" t="s">
        <v>635</v>
      </c>
      <c r="K187" s="5" t="str">
        <f>CONCATENATE(Table1[[#This Row],[Lead UKGI Contact Forename]],".",Table1[[#This Row],[Lead UKGI Contact Surname]],"@ukgi.org.uk")</f>
        <v>.@ukgi.org.uk</v>
      </c>
    </row>
    <row r="188" spans="1:11" hidden="1" x14ac:dyDescent="0.2">
      <c r="A188" s="4" t="s">
        <v>530</v>
      </c>
      <c r="B188" s="4" t="s">
        <v>121</v>
      </c>
      <c r="C188" s="4"/>
      <c r="D188" s="4" t="s">
        <v>37</v>
      </c>
      <c r="E188" s="2" t="s">
        <v>652</v>
      </c>
      <c r="F188" s="2" t="s">
        <v>653</v>
      </c>
      <c r="G188" s="2" t="s">
        <v>431</v>
      </c>
      <c r="H188" s="2" t="s">
        <v>635</v>
      </c>
      <c r="K188" s="5" t="str">
        <f>CONCATENATE(Table1[[#This Row],[Lead UKGI Contact Forename]],".",Table1[[#This Row],[Lead UKGI Contact Surname]],"@ukgi.org.uk")</f>
        <v>.@ukgi.org.uk</v>
      </c>
    </row>
    <row r="189" spans="1:11" hidden="1" x14ac:dyDescent="0.2">
      <c r="A189" s="4" t="s">
        <v>654</v>
      </c>
      <c r="B189" s="4" t="s">
        <v>655</v>
      </c>
      <c r="C189" s="4"/>
      <c r="D189" s="4" t="s">
        <v>45</v>
      </c>
      <c r="E189" s="2" t="s">
        <v>656</v>
      </c>
      <c r="F189" s="2" t="s">
        <v>657</v>
      </c>
      <c r="G189" s="2" t="s">
        <v>431</v>
      </c>
      <c r="H189" s="2" t="s">
        <v>635</v>
      </c>
      <c r="K189" s="5" t="str">
        <f>CONCATENATE(Table1[[#This Row],[Lead UKGI Contact Forename]],".",Table1[[#This Row],[Lead UKGI Contact Surname]],"@ukgi.org.uk")</f>
        <v>.@ukgi.org.uk</v>
      </c>
    </row>
    <row r="190" spans="1:11" ht="25.5" hidden="1" x14ac:dyDescent="0.2">
      <c r="A190" s="4" t="s">
        <v>658</v>
      </c>
      <c r="B190" s="4" t="s">
        <v>147</v>
      </c>
      <c r="C190" s="4"/>
      <c r="D190" s="4" t="s">
        <v>45</v>
      </c>
      <c r="E190" s="2" t="s">
        <v>659</v>
      </c>
      <c r="F190" s="2" t="s">
        <v>645</v>
      </c>
      <c r="G190" s="2" t="s">
        <v>431</v>
      </c>
      <c r="H190" s="2" t="s">
        <v>635</v>
      </c>
      <c r="K190" s="5" t="str">
        <f>CONCATENATE(Table1[[#This Row],[Lead UKGI Contact Forename]],".",Table1[[#This Row],[Lead UKGI Contact Surname]],"@ukgi.org.uk")</f>
        <v>.@ukgi.org.uk</v>
      </c>
    </row>
    <row r="191" spans="1:11" hidden="1" x14ac:dyDescent="0.2">
      <c r="A191" s="4" t="s">
        <v>660</v>
      </c>
      <c r="B191" s="4" t="s">
        <v>661</v>
      </c>
      <c r="C191" s="4"/>
      <c r="D191" s="4" t="s">
        <v>37</v>
      </c>
      <c r="E191" s="2" t="s">
        <v>662</v>
      </c>
      <c r="F191" s="2" t="s">
        <v>657</v>
      </c>
      <c r="G191" s="2" t="s">
        <v>431</v>
      </c>
      <c r="H191" s="2" t="s">
        <v>635</v>
      </c>
      <c r="K191" s="5" t="str">
        <f>CONCATENATE(Table1[[#This Row],[Lead UKGI Contact Forename]],".",Table1[[#This Row],[Lead UKGI Contact Surname]],"@ukgi.org.uk")</f>
        <v>.@ukgi.org.uk</v>
      </c>
    </row>
    <row r="192" spans="1:11" hidden="1" x14ac:dyDescent="0.2">
      <c r="A192" s="4" t="s">
        <v>663</v>
      </c>
      <c r="B192" s="4" t="s">
        <v>303</v>
      </c>
      <c r="C192" s="4"/>
      <c r="D192" s="4" t="s">
        <v>45</v>
      </c>
      <c r="E192" s="2" t="s">
        <v>638</v>
      </c>
      <c r="F192" s="2" t="s">
        <v>664</v>
      </c>
      <c r="G192" s="2" t="s">
        <v>431</v>
      </c>
      <c r="H192" s="2" t="s">
        <v>635</v>
      </c>
      <c r="K192" s="5" t="str">
        <f>CONCATENATE(Table1[[#This Row],[Lead UKGI Contact Forename]],".",Table1[[#This Row],[Lead UKGI Contact Surname]],"@ukgi.org.uk")</f>
        <v>.@ukgi.org.uk</v>
      </c>
    </row>
    <row r="193" spans="1:11" hidden="1" x14ac:dyDescent="0.2">
      <c r="A193" s="4" t="s">
        <v>665</v>
      </c>
      <c r="B193" s="4" t="s">
        <v>147</v>
      </c>
      <c r="C193" s="4"/>
      <c r="D193" s="4" t="s">
        <v>37</v>
      </c>
      <c r="E193" s="2" t="s">
        <v>666</v>
      </c>
      <c r="F193" s="2" t="s">
        <v>667</v>
      </c>
      <c r="G193" s="2" t="s">
        <v>431</v>
      </c>
      <c r="H193" s="2" t="s">
        <v>635</v>
      </c>
      <c r="K193" s="5" t="str">
        <f>CONCATENATE(Table1[[#This Row],[Lead UKGI Contact Forename]],".",Table1[[#This Row],[Lead UKGI Contact Surname]],"@ukgi.org.uk")</f>
        <v>.@ukgi.org.uk</v>
      </c>
    </row>
    <row r="194" spans="1:11" hidden="1" x14ac:dyDescent="0.2">
      <c r="A194" s="4" t="s">
        <v>668</v>
      </c>
      <c r="B194" s="4" t="s">
        <v>382</v>
      </c>
      <c r="C194" s="4"/>
      <c r="D194" s="4" t="s">
        <v>45</v>
      </c>
      <c r="E194" s="2" t="s">
        <v>131</v>
      </c>
      <c r="F194" s="2" t="s">
        <v>645</v>
      </c>
      <c r="G194" s="2" t="s">
        <v>431</v>
      </c>
      <c r="H194" s="2" t="s">
        <v>635</v>
      </c>
      <c r="K194" s="5" t="str">
        <f>CONCATENATE(Table1[[#This Row],[Lead UKGI Contact Forename]],".",Table1[[#This Row],[Lead UKGI Contact Surname]],"@ukgi.org.uk")</f>
        <v>.@ukgi.org.uk</v>
      </c>
    </row>
    <row r="195" spans="1:11" hidden="1" x14ac:dyDescent="0.2">
      <c r="A195" s="4" t="s">
        <v>669</v>
      </c>
      <c r="B195" s="4" t="s">
        <v>535</v>
      </c>
      <c r="C195" s="4"/>
      <c r="D195" s="4" t="s">
        <v>37</v>
      </c>
      <c r="E195" s="2" t="s">
        <v>670</v>
      </c>
      <c r="F195" s="2" t="s">
        <v>671</v>
      </c>
      <c r="G195" s="2" t="s">
        <v>431</v>
      </c>
      <c r="H195" s="2" t="s">
        <v>635</v>
      </c>
      <c r="K195" s="5" t="str">
        <f>CONCATENATE(Table1[[#This Row],[Lead UKGI Contact Forename]],".",Table1[[#This Row],[Lead UKGI Contact Surname]],"@ukgi.org.uk")</f>
        <v>.@ukgi.org.uk</v>
      </c>
    </row>
    <row r="196" spans="1:11" hidden="1" x14ac:dyDescent="0.2">
      <c r="A196" s="4" t="s">
        <v>192</v>
      </c>
      <c r="B196" s="4" t="s">
        <v>672</v>
      </c>
      <c r="C196" s="4"/>
      <c r="D196" s="4" t="s">
        <v>45</v>
      </c>
      <c r="E196" s="2" t="s">
        <v>673</v>
      </c>
      <c r="F196" s="2" t="s">
        <v>645</v>
      </c>
      <c r="G196" s="2" t="s">
        <v>431</v>
      </c>
      <c r="H196" s="2" t="s">
        <v>635</v>
      </c>
      <c r="K196" s="5" t="str">
        <f>CONCATENATE(Table1[[#This Row],[Lead UKGI Contact Forename]],".",Table1[[#This Row],[Lead UKGI Contact Surname]],"@ukgi.org.uk")</f>
        <v>.@ukgi.org.uk</v>
      </c>
    </row>
    <row r="197" spans="1:11" hidden="1" x14ac:dyDescent="0.2">
      <c r="A197" s="4" t="s">
        <v>674</v>
      </c>
      <c r="B197" s="4" t="s">
        <v>265</v>
      </c>
      <c r="C197" s="4"/>
      <c r="D197" s="4" t="s">
        <v>45</v>
      </c>
      <c r="E197" s="2" t="s">
        <v>675</v>
      </c>
      <c r="F197" s="2" t="s">
        <v>638</v>
      </c>
      <c r="G197" s="2" t="s">
        <v>431</v>
      </c>
      <c r="H197" s="2" t="s">
        <v>635</v>
      </c>
      <c r="K197" s="5" t="str">
        <f>CONCATENATE(Table1[[#This Row],[Lead UKGI Contact Forename]],".",Table1[[#This Row],[Lead UKGI Contact Surname]],"@ukgi.org.uk")</f>
        <v>.@ukgi.org.uk</v>
      </c>
    </row>
    <row r="198" spans="1:11" hidden="1" x14ac:dyDescent="0.2">
      <c r="A198" s="4" t="s">
        <v>676</v>
      </c>
      <c r="B198" s="4" t="s">
        <v>286</v>
      </c>
      <c r="C198" s="4"/>
      <c r="D198" s="4" t="s">
        <v>37</v>
      </c>
      <c r="E198" s="2" t="s">
        <v>677</v>
      </c>
      <c r="F198" s="2" t="s">
        <v>642</v>
      </c>
      <c r="G198" s="2" t="s">
        <v>431</v>
      </c>
      <c r="H198" s="2" t="s">
        <v>635</v>
      </c>
      <c r="K198" s="5" t="str">
        <f>CONCATENATE(Table1[[#This Row],[Lead UKGI Contact Forename]],".",Table1[[#This Row],[Lead UKGI Contact Surname]],"@ukgi.org.uk")</f>
        <v>.@ukgi.org.uk</v>
      </c>
    </row>
    <row r="199" spans="1:11" hidden="1" x14ac:dyDescent="0.2">
      <c r="A199" s="4" t="s">
        <v>678</v>
      </c>
      <c r="B199" s="4" t="s">
        <v>300</v>
      </c>
      <c r="C199" s="4"/>
      <c r="D199" s="4" t="s">
        <v>45</v>
      </c>
      <c r="E199" s="2" t="s">
        <v>679</v>
      </c>
      <c r="F199" s="2" t="s">
        <v>642</v>
      </c>
      <c r="G199" s="2" t="s">
        <v>431</v>
      </c>
      <c r="H199" s="2" t="s">
        <v>635</v>
      </c>
      <c r="K199" s="5" t="str">
        <f>CONCATENATE(Table1[[#This Row],[Lead UKGI Contact Forename]],".",Table1[[#This Row],[Lead UKGI Contact Surname]],"@ukgi.org.uk")</f>
        <v>.@ukgi.org.uk</v>
      </c>
    </row>
    <row r="200" spans="1:11" hidden="1" x14ac:dyDescent="0.2">
      <c r="A200" s="4" t="s">
        <v>680</v>
      </c>
      <c r="B200" s="4" t="s">
        <v>681</v>
      </c>
      <c r="C200" s="4"/>
      <c r="D200" s="4" t="s">
        <v>110</v>
      </c>
      <c r="E200" s="2" t="s">
        <v>234</v>
      </c>
      <c r="F200" s="2" t="s">
        <v>416</v>
      </c>
      <c r="G200" s="2" t="s">
        <v>431</v>
      </c>
      <c r="H200" s="2" t="s">
        <v>682</v>
      </c>
      <c r="K200" s="5" t="str">
        <f>CONCATENATE(Table1[[#This Row],[Lead UKGI Contact Forename]],".",Table1[[#This Row],[Lead UKGI Contact Surname]],"@ukgi.org.uk")</f>
        <v>.@ukgi.org.uk</v>
      </c>
    </row>
    <row r="201" spans="1:11" hidden="1" x14ac:dyDescent="0.2">
      <c r="A201" s="4" t="s">
        <v>683</v>
      </c>
      <c r="B201" s="4" t="s">
        <v>684</v>
      </c>
      <c r="C201" s="4"/>
      <c r="D201" s="4" t="s">
        <v>37</v>
      </c>
      <c r="E201" s="2" t="s">
        <v>231</v>
      </c>
      <c r="F201" s="2" t="s">
        <v>685</v>
      </c>
      <c r="G201" s="2" t="s">
        <v>431</v>
      </c>
      <c r="H201" s="2" t="s">
        <v>682</v>
      </c>
      <c r="K201" s="5" t="str">
        <f>CONCATENATE(Table1[[#This Row],[Lead UKGI Contact Forename]],".",Table1[[#This Row],[Lead UKGI Contact Surname]],"@ukgi.org.uk")</f>
        <v>.@ukgi.org.uk</v>
      </c>
    </row>
    <row r="202" spans="1:11" ht="25.5" hidden="1" x14ac:dyDescent="0.2">
      <c r="A202" s="4" t="s">
        <v>686</v>
      </c>
      <c r="B202" s="4" t="s">
        <v>516</v>
      </c>
      <c r="C202" s="4"/>
      <c r="D202" s="4" t="s">
        <v>37</v>
      </c>
      <c r="E202" s="2" t="s">
        <v>687</v>
      </c>
      <c r="F202" s="2" t="s">
        <v>688</v>
      </c>
      <c r="G202" s="2" t="s">
        <v>431</v>
      </c>
      <c r="H202" s="2" t="s">
        <v>682</v>
      </c>
      <c r="K202" s="5" t="str">
        <f>CONCATENATE(Table1[[#This Row],[Lead UKGI Contact Forename]],".",Table1[[#This Row],[Lead UKGI Contact Surname]],"@ukgi.org.uk")</f>
        <v>.@ukgi.org.uk</v>
      </c>
    </row>
    <row r="203" spans="1:11" hidden="1" x14ac:dyDescent="0.2">
      <c r="A203" s="4" t="s">
        <v>495</v>
      </c>
      <c r="B203" s="4" t="s">
        <v>387</v>
      </c>
      <c r="C203" s="4"/>
      <c r="D203" s="4" t="s">
        <v>110</v>
      </c>
      <c r="E203" s="2" t="s">
        <v>689</v>
      </c>
      <c r="F203" s="2" t="s">
        <v>690</v>
      </c>
      <c r="G203" s="2" t="s">
        <v>431</v>
      </c>
      <c r="H203" s="2" t="s">
        <v>682</v>
      </c>
      <c r="K203" s="5" t="str">
        <f>CONCATENATE(Table1[[#This Row],[Lead UKGI Contact Forename]],".",Table1[[#This Row],[Lead UKGI Contact Surname]],"@ukgi.org.uk")</f>
        <v>.@ukgi.org.uk</v>
      </c>
    </row>
    <row r="204" spans="1:11" hidden="1" x14ac:dyDescent="0.2">
      <c r="A204" s="4" t="s">
        <v>691</v>
      </c>
      <c r="B204" s="4" t="s">
        <v>692</v>
      </c>
      <c r="C204" s="4"/>
      <c r="D204" s="4" t="s">
        <v>45</v>
      </c>
      <c r="E204" s="2" t="s">
        <v>693</v>
      </c>
      <c r="F204" s="2" t="s">
        <v>694</v>
      </c>
      <c r="G204" s="2" t="s">
        <v>431</v>
      </c>
      <c r="H204" s="2" t="s">
        <v>682</v>
      </c>
      <c r="K204" s="5" t="str">
        <f>CONCATENATE(Table1[[#This Row],[Lead UKGI Contact Forename]],".",Table1[[#This Row],[Lead UKGI Contact Surname]],"@ukgi.org.uk")</f>
        <v>.@ukgi.org.uk</v>
      </c>
    </row>
    <row r="205" spans="1:11" hidden="1" x14ac:dyDescent="0.2">
      <c r="A205" s="4" t="s">
        <v>695</v>
      </c>
      <c r="B205" s="4" t="s">
        <v>265</v>
      </c>
      <c r="C205" s="4"/>
      <c r="D205" s="4" t="s">
        <v>45</v>
      </c>
      <c r="E205" s="2" t="s">
        <v>696</v>
      </c>
      <c r="F205" s="2" t="s">
        <v>694</v>
      </c>
      <c r="G205" s="2" t="s">
        <v>431</v>
      </c>
      <c r="H205" s="2" t="s">
        <v>682</v>
      </c>
      <c r="K205" s="5" t="str">
        <f>CONCATENATE(Table1[[#This Row],[Lead UKGI Contact Forename]],".",Table1[[#This Row],[Lead UKGI Contact Surname]],"@ukgi.org.uk")</f>
        <v>.@ukgi.org.uk</v>
      </c>
    </row>
    <row r="206" spans="1:11" hidden="1" x14ac:dyDescent="0.2">
      <c r="A206" s="4" t="s">
        <v>697</v>
      </c>
      <c r="B206" s="4" t="s">
        <v>325</v>
      </c>
      <c r="C206" s="4"/>
      <c r="D206" s="4" t="s">
        <v>45</v>
      </c>
      <c r="E206" s="2" t="s">
        <v>698</v>
      </c>
      <c r="F206" s="2" t="s">
        <v>694</v>
      </c>
      <c r="G206" s="2" t="s">
        <v>431</v>
      </c>
      <c r="H206" s="2" t="s">
        <v>682</v>
      </c>
      <c r="K206" s="5" t="str">
        <f>CONCATENATE(Table1[[#This Row],[Lead UKGI Contact Forename]],".",Table1[[#This Row],[Lead UKGI Contact Surname]],"@ukgi.org.uk")</f>
        <v>.@ukgi.org.uk</v>
      </c>
    </row>
    <row r="207" spans="1:11" hidden="1" x14ac:dyDescent="0.2">
      <c r="A207" s="4" t="s">
        <v>699</v>
      </c>
      <c r="B207" s="4" t="s">
        <v>700</v>
      </c>
      <c r="C207" s="4"/>
      <c r="D207" s="4" t="s">
        <v>37</v>
      </c>
      <c r="E207" s="2" t="s">
        <v>701</v>
      </c>
      <c r="F207" s="2" t="s">
        <v>702</v>
      </c>
      <c r="G207" s="2" t="s">
        <v>431</v>
      </c>
      <c r="H207" s="2" t="s">
        <v>682</v>
      </c>
      <c r="K207" s="5" t="str">
        <f>CONCATENATE(Table1[[#This Row],[Lead UKGI Contact Forename]],".",Table1[[#This Row],[Lead UKGI Contact Surname]],"@ukgi.org.uk")</f>
        <v>.@ukgi.org.uk</v>
      </c>
    </row>
    <row r="208" spans="1:11" hidden="1" x14ac:dyDescent="0.2">
      <c r="A208" s="4" t="s">
        <v>703</v>
      </c>
      <c r="B208" s="4" t="s">
        <v>704</v>
      </c>
      <c r="C208" s="4"/>
      <c r="D208" s="4" t="s">
        <v>143</v>
      </c>
      <c r="E208" s="2" t="s">
        <v>705</v>
      </c>
      <c r="F208" s="2" t="s">
        <v>416</v>
      </c>
      <c r="G208" s="2" t="s">
        <v>431</v>
      </c>
      <c r="H208" s="2" t="s">
        <v>682</v>
      </c>
      <c r="K208" s="5" t="str">
        <f>CONCATENATE(Table1[[#This Row],[Lead UKGI Contact Forename]],".",Table1[[#This Row],[Lead UKGI Contact Surname]],"@ukgi.org.uk")</f>
        <v>.@ukgi.org.uk</v>
      </c>
    </row>
    <row r="209" spans="1:11" hidden="1" x14ac:dyDescent="0.2">
      <c r="A209" s="4" t="s">
        <v>706</v>
      </c>
      <c r="B209" s="4" t="s">
        <v>707</v>
      </c>
      <c r="C209" s="4"/>
      <c r="D209" s="4" t="s">
        <v>622</v>
      </c>
      <c r="E209" s="2" t="s">
        <v>622</v>
      </c>
      <c r="F209" s="2" t="s">
        <v>416</v>
      </c>
      <c r="G209" s="2" t="s">
        <v>431</v>
      </c>
      <c r="H209" s="2" t="s">
        <v>682</v>
      </c>
      <c r="K209" s="5" t="str">
        <f>CONCATENATE(Table1[[#This Row],[Lead UKGI Contact Forename]],".",Table1[[#This Row],[Lead UKGI Contact Surname]],"@ukgi.org.uk")</f>
        <v>.@ukgi.org.uk</v>
      </c>
    </row>
    <row r="210" spans="1:11" x14ac:dyDescent="0.2">
      <c r="A210" s="4" t="s">
        <v>708</v>
      </c>
      <c r="B210" s="4" t="s">
        <v>51</v>
      </c>
      <c r="C210" s="4"/>
      <c r="D210" s="4" t="s">
        <v>148</v>
      </c>
      <c r="E210" s="2" t="s">
        <v>234</v>
      </c>
      <c r="F210" s="2" t="s">
        <v>709</v>
      </c>
      <c r="G210" s="2" t="s">
        <v>431</v>
      </c>
      <c r="H210" s="2" t="s">
        <v>710</v>
      </c>
      <c r="K210" s="5" t="str">
        <f>CONCATENATE(Table1[[#This Row],[Lead UKGI Contact Forename]],".",Table1[[#This Row],[Lead UKGI Contact Surname]],"@ukgi.org.uk")</f>
        <v>.@ukgi.org.uk</v>
      </c>
    </row>
    <row r="211" spans="1:11" hidden="1" x14ac:dyDescent="0.2">
      <c r="A211" s="4" t="s">
        <v>711</v>
      </c>
      <c r="B211" s="4" t="s">
        <v>165</v>
      </c>
      <c r="C211" s="4"/>
      <c r="D211" s="4" t="s">
        <v>110</v>
      </c>
      <c r="E211" s="2" t="s">
        <v>231</v>
      </c>
      <c r="F211" s="2" t="s">
        <v>232</v>
      </c>
      <c r="G211" s="2" t="s">
        <v>431</v>
      </c>
      <c r="H211" s="2" t="s">
        <v>710</v>
      </c>
      <c r="K211" s="5" t="str">
        <f>CONCATENATE(Table1[[#This Row],[Lead UKGI Contact Forename]],".",Table1[[#This Row],[Lead UKGI Contact Surname]],"@ukgi.org.uk")</f>
        <v>.@ukgi.org.uk</v>
      </c>
    </row>
    <row r="212" spans="1:11" hidden="1" x14ac:dyDescent="0.2">
      <c r="A212" s="4" t="s">
        <v>712</v>
      </c>
      <c r="B212" s="4" t="s">
        <v>713</v>
      </c>
      <c r="C212" s="4"/>
      <c r="D212" s="4" t="s">
        <v>37</v>
      </c>
      <c r="E212" s="2" t="s">
        <v>714</v>
      </c>
      <c r="F212" s="2" t="s">
        <v>715</v>
      </c>
      <c r="G212" s="2" t="s">
        <v>431</v>
      </c>
      <c r="H212" s="2" t="s">
        <v>710</v>
      </c>
      <c r="K212" s="5" t="str">
        <f>CONCATENATE(Table1[[#This Row],[Lead UKGI Contact Forename]],".",Table1[[#This Row],[Lead UKGI Contact Surname]],"@ukgi.org.uk")</f>
        <v>.@ukgi.org.uk</v>
      </c>
    </row>
    <row r="213" spans="1:11" hidden="1" x14ac:dyDescent="0.2">
      <c r="A213" s="4" t="s">
        <v>716</v>
      </c>
      <c r="B213" s="4" t="s">
        <v>400</v>
      </c>
      <c r="C213" s="4"/>
      <c r="D213" s="4" t="s">
        <v>37</v>
      </c>
      <c r="E213" s="2" t="s">
        <v>717</v>
      </c>
      <c r="F213" s="2" t="s">
        <v>718</v>
      </c>
      <c r="G213" s="2" t="s">
        <v>431</v>
      </c>
      <c r="H213" s="2" t="s">
        <v>710</v>
      </c>
      <c r="K213" s="5" t="str">
        <f>CONCATENATE(Table1[[#This Row],[Lead UKGI Contact Forename]],".",Table1[[#This Row],[Lead UKGI Contact Surname]],"@ukgi.org.uk")</f>
        <v>.@ukgi.org.uk</v>
      </c>
    </row>
    <row r="214" spans="1:11" hidden="1" x14ac:dyDescent="0.2">
      <c r="A214" s="4" t="s">
        <v>719</v>
      </c>
      <c r="B214" s="4" t="s">
        <v>343</v>
      </c>
      <c r="C214" s="4"/>
      <c r="D214" s="4" t="s">
        <v>37</v>
      </c>
      <c r="E214" s="2" t="s">
        <v>720</v>
      </c>
      <c r="F214" s="2" t="s">
        <v>721</v>
      </c>
      <c r="G214" s="2" t="s">
        <v>431</v>
      </c>
      <c r="H214" s="2" t="s">
        <v>710</v>
      </c>
      <c r="K214" s="5" t="str">
        <f>CONCATENATE(Table1[[#This Row],[Lead UKGI Contact Forename]],".",Table1[[#This Row],[Lead UKGI Contact Surname]],"@ukgi.org.uk")</f>
        <v>.@ukgi.org.uk</v>
      </c>
    </row>
    <row r="215" spans="1:11" hidden="1" x14ac:dyDescent="0.2">
      <c r="A215" s="4" t="s">
        <v>722</v>
      </c>
      <c r="B215" s="4" t="s">
        <v>429</v>
      </c>
      <c r="C215" s="4"/>
      <c r="D215" s="4" t="s">
        <v>37</v>
      </c>
      <c r="E215" s="2" t="s">
        <v>723</v>
      </c>
      <c r="F215" s="2" t="s">
        <v>724</v>
      </c>
      <c r="G215" s="2" t="s">
        <v>431</v>
      </c>
      <c r="H215" s="2" t="s">
        <v>710</v>
      </c>
      <c r="K215" s="5" t="str">
        <f>CONCATENATE(Table1[[#This Row],[Lead UKGI Contact Forename]],".",Table1[[#This Row],[Lead UKGI Contact Surname]],"@ukgi.org.uk")</f>
        <v>.@ukgi.org.uk</v>
      </c>
    </row>
    <row r="216" spans="1:11" ht="25.5" hidden="1" x14ac:dyDescent="0.2">
      <c r="A216" s="4" t="s">
        <v>725</v>
      </c>
      <c r="B216" s="4" t="s">
        <v>121</v>
      </c>
      <c r="C216" s="4"/>
      <c r="D216" s="4" t="s">
        <v>37</v>
      </c>
      <c r="E216" s="2" t="s">
        <v>726</v>
      </c>
      <c r="F216" s="2" t="s">
        <v>727</v>
      </c>
      <c r="G216" s="2" t="s">
        <v>431</v>
      </c>
      <c r="H216" s="2" t="s">
        <v>710</v>
      </c>
      <c r="K216" s="5" t="str">
        <f>CONCATENATE(Table1[[#This Row],[Lead UKGI Contact Forename]],".",Table1[[#This Row],[Lead UKGI Contact Surname]],"@ukgi.org.uk")</f>
        <v>.@ukgi.org.uk</v>
      </c>
    </row>
    <row r="217" spans="1:11" hidden="1" x14ac:dyDescent="0.2">
      <c r="A217" s="4" t="s">
        <v>728</v>
      </c>
      <c r="B217" s="4" t="s">
        <v>103</v>
      </c>
      <c r="C217" s="4"/>
      <c r="D217" s="4" t="s">
        <v>143</v>
      </c>
      <c r="E217" s="2" t="s">
        <v>143</v>
      </c>
      <c r="F217" s="2" t="s">
        <v>709</v>
      </c>
      <c r="G217" s="2" t="s">
        <v>431</v>
      </c>
      <c r="H217" s="2" t="s">
        <v>710</v>
      </c>
      <c r="K217" s="5" t="str">
        <f>CONCATENATE(Table1[[#This Row],[Lead UKGI Contact Forename]],".",Table1[[#This Row],[Lead UKGI Contact Surname]],"@ukgi.org.uk")</f>
        <v>.@ukgi.org.uk</v>
      </c>
    </row>
    <row r="218" spans="1:11" hidden="1" x14ac:dyDescent="0.2">
      <c r="A218" s="4" t="s">
        <v>729</v>
      </c>
      <c r="B218" s="4" t="s">
        <v>343</v>
      </c>
      <c r="C218" s="4"/>
      <c r="D218" s="4" t="s">
        <v>37</v>
      </c>
      <c r="E218" s="2" t="s">
        <v>730</v>
      </c>
      <c r="F218" s="2" t="s">
        <v>731</v>
      </c>
      <c r="G218" s="2" t="s">
        <v>431</v>
      </c>
      <c r="H218" s="2" t="s">
        <v>710</v>
      </c>
      <c r="K218" s="5" t="str">
        <f>CONCATENATE(Table1[[#This Row],[Lead UKGI Contact Forename]],".",Table1[[#This Row],[Lead UKGI Contact Surname]],"@ukgi.org.uk")</f>
        <v>.@ukgi.org.uk</v>
      </c>
    </row>
    <row r="219" spans="1:11" hidden="1" x14ac:dyDescent="0.2">
      <c r="A219" s="4" t="s">
        <v>732</v>
      </c>
      <c r="B219" s="4" t="s">
        <v>142</v>
      </c>
      <c r="C219" s="4"/>
      <c r="D219" s="4" t="s">
        <v>37</v>
      </c>
      <c r="E219" s="2" t="s">
        <v>733</v>
      </c>
      <c r="F219" s="2" t="s">
        <v>734</v>
      </c>
      <c r="G219" s="2" t="s">
        <v>431</v>
      </c>
      <c r="H219" s="2" t="s">
        <v>710</v>
      </c>
      <c r="K219" s="5" t="str">
        <f>CONCATENATE(Table1[[#This Row],[Lead UKGI Contact Forename]],".",Table1[[#This Row],[Lead UKGI Contact Surname]],"@ukgi.org.uk")</f>
        <v>.@ukgi.org.uk</v>
      </c>
    </row>
    <row r="220" spans="1:11" hidden="1" x14ac:dyDescent="0.2">
      <c r="A220" s="4" t="s">
        <v>243</v>
      </c>
      <c r="B220" s="4" t="s">
        <v>735</v>
      </c>
      <c r="C220" s="4"/>
      <c r="D220" s="4" t="s">
        <v>37</v>
      </c>
      <c r="E220" s="2" t="s">
        <v>736</v>
      </c>
      <c r="F220" s="2" t="s">
        <v>737</v>
      </c>
      <c r="G220" s="2" t="s">
        <v>431</v>
      </c>
      <c r="H220" s="2" t="s">
        <v>710</v>
      </c>
      <c r="K220" s="5" t="str">
        <f>CONCATENATE(Table1[[#This Row],[Lead UKGI Contact Forename]],".",Table1[[#This Row],[Lead UKGI Contact Surname]],"@ukgi.org.uk")</f>
        <v>.@ukgi.org.uk</v>
      </c>
    </row>
    <row r="221" spans="1:11" hidden="1" x14ac:dyDescent="0.2">
      <c r="A221" s="4" t="s">
        <v>738</v>
      </c>
      <c r="B221" s="4" t="s">
        <v>646</v>
      </c>
      <c r="C221" s="4"/>
      <c r="D221" s="4" t="s">
        <v>37</v>
      </c>
      <c r="E221" s="2" t="s">
        <v>739</v>
      </c>
      <c r="F221" s="2" t="s">
        <v>721</v>
      </c>
      <c r="G221" s="2" t="s">
        <v>431</v>
      </c>
      <c r="H221" s="2" t="s">
        <v>710</v>
      </c>
      <c r="K221" s="5" t="str">
        <f>CONCATENATE(Table1[[#This Row],[Lead UKGI Contact Forename]],".",Table1[[#This Row],[Lead UKGI Contact Surname]],"@ukgi.org.uk")</f>
        <v>.@ukgi.org.uk</v>
      </c>
    </row>
    <row r="222" spans="1:11" ht="25.5" hidden="1" x14ac:dyDescent="0.2">
      <c r="A222" s="4" t="s">
        <v>740</v>
      </c>
      <c r="B222" s="4" t="s">
        <v>98</v>
      </c>
      <c r="C222" s="4"/>
      <c r="D222" s="4" t="s">
        <v>37</v>
      </c>
      <c r="E222" s="2" t="s">
        <v>741</v>
      </c>
      <c r="F222" s="2" t="s">
        <v>715</v>
      </c>
      <c r="G222" s="2" t="s">
        <v>431</v>
      </c>
      <c r="H222" s="2" t="s">
        <v>710</v>
      </c>
      <c r="K222" s="5" t="str">
        <f>CONCATENATE(Table1[[#This Row],[Lead UKGI Contact Forename]],".",Table1[[#This Row],[Lead UKGI Contact Surname]],"@ukgi.org.uk")</f>
        <v>.@ukgi.org.uk</v>
      </c>
    </row>
    <row r="223" spans="1:11" hidden="1" x14ac:dyDescent="0.2">
      <c r="A223" s="4" t="s">
        <v>742</v>
      </c>
      <c r="B223" s="4" t="s">
        <v>434</v>
      </c>
      <c r="C223" s="4"/>
      <c r="D223" s="4" t="s">
        <v>37</v>
      </c>
      <c r="E223" s="2" t="s">
        <v>743</v>
      </c>
      <c r="F223" s="2" t="s">
        <v>744</v>
      </c>
      <c r="G223" s="2" t="s">
        <v>431</v>
      </c>
      <c r="H223" s="2" t="s">
        <v>710</v>
      </c>
      <c r="K223" s="5" t="str">
        <f>CONCATENATE(Table1[[#This Row],[Lead UKGI Contact Forename]],".",Table1[[#This Row],[Lead UKGI Contact Surname]],"@ukgi.org.uk")</f>
        <v>.@ukgi.org.uk</v>
      </c>
    </row>
    <row r="224" spans="1:11" hidden="1" x14ac:dyDescent="0.2">
      <c r="A224" s="4" t="s">
        <v>745</v>
      </c>
      <c r="B224" s="4" t="s">
        <v>746</v>
      </c>
      <c r="C224" s="4"/>
      <c r="D224" s="4" t="s">
        <v>37</v>
      </c>
      <c r="E224" s="2" t="s">
        <v>747</v>
      </c>
      <c r="F224" s="2" t="s">
        <v>657</v>
      </c>
      <c r="G224" s="2" t="s">
        <v>431</v>
      </c>
      <c r="H224" s="2" t="s">
        <v>710</v>
      </c>
      <c r="K224" s="5" t="str">
        <f>CONCATENATE(Table1[[#This Row],[Lead UKGI Contact Forename]],".",Table1[[#This Row],[Lead UKGI Contact Surname]],"@ukgi.org.uk")</f>
        <v>.@ukgi.org.uk</v>
      </c>
    </row>
    <row r="225" spans="1:11" hidden="1" x14ac:dyDescent="0.2">
      <c r="A225" s="4" t="s">
        <v>748</v>
      </c>
      <c r="B225" s="4" t="s">
        <v>749</v>
      </c>
      <c r="C225" s="4"/>
      <c r="D225" s="4" t="s">
        <v>37</v>
      </c>
      <c r="E225" s="2" t="s">
        <v>750</v>
      </c>
      <c r="F225" s="2" t="s">
        <v>737</v>
      </c>
      <c r="G225" s="2" t="s">
        <v>431</v>
      </c>
      <c r="H225" s="2" t="s">
        <v>710</v>
      </c>
      <c r="K225" s="5" t="str">
        <f>CONCATENATE(Table1[[#This Row],[Lead UKGI Contact Forename]],".",Table1[[#This Row],[Lead UKGI Contact Surname]],"@ukgi.org.uk")</f>
        <v>.@ukgi.org.uk</v>
      </c>
    </row>
    <row r="226" spans="1:11" hidden="1" x14ac:dyDescent="0.2">
      <c r="A226" s="4" t="s">
        <v>751</v>
      </c>
      <c r="B226" s="4" t="s">
        <v>197</v>
      </c>
      <c r="C226" s="4"/>
      <c r="D226" s="4" t="s">
        <v>37</v>
      </c>
      <c r="E226" s="2" t="s">
        <v>752</v>
      </c>
      <c r="F226" s="2" t="s">
        <v>721</v>
      </c>
      <c r="G226" s="2" t="s">
        <v>431</v>
      </c>
      <c r="H226" s="2" t="s">
        <v>710</v>
      </c>
      <c r="K226" s="5" t="str">
        <f>CONCATENATE(Table1[[#This Row],[Lead UKGI Contact Forename]],".",Table1[[#This Row],[Lead UKGI Contact Surname]],"@ukgi.org.uk")</f>
        <v>.@ukgi.org.uk</v>
      </c>
    </row>
    <row r="227" spans="1:11" hidden="1" x14ac:dyDescent="0.2">
      <c r="A227" s="4" t="s">
        <v>753</v>
      </c>
      <c r="B227" s="4" t="s">
        <v>754</v>
      </c>
      <c r="C227" s="4"/>
      <c r="D227" s="4" t="s">
        <v>37</v>
      </c>
      <c r="E227" s="2" t="s">
        <v>755</v>
      </c>
      <c r="F227" s="2" t="s">
        <v>756</v>
      </c>
      <c r="G227" s="2" t="s">
        <v>431</v>
      </c>
      <c r="H227" s="2" t="s">
        <v>710</v>
      </c>
      <c r="K227" s="5" t="str">
        <f>CONCATENATE(Table1[[#This Row],[Lead UKGI Contact Forename]],".",Table1[[#This Row],[Lead UKGI Contact Surname]],"@ukgi.org.uk")</f>
        <v>.@ukgi.org.uk</v>
      </c>
    </row>
    <row r="228" spans="1:11" hidden="1" x14ac:dyDescent="0.2">
      <c r="A228" s="4" t="s">
        <v>757</v>
      </c>
      <c r="B228" s="4" t="s">
        <v>300</v>
      </c>
      <c r="C228" s="4"/>
      <c r="D228" s="4" t="s">
        <v>37</v>
      </c>
      <c r="E228" s="2" t="s">
        <v>758</v>
      </c>
      <c r="F228" s="2" t="s">
        <v>731</v>
      </c>
      <c r="G228" s="2" t="s">
        <v>431</v>
      </c>
      <c r="H228" s="2" t="s">
        <v>710</v>
      </c>
      <c r="K228" s="5" t="str">
        <f>CONCATENATE(Table1[[#This Row],[Lead UKGI Contact Forename]],".",Table1[[#This Row],[Lead UKGI Contact Surname]],"@ukgi.org.uk")</f>
        <v>.@ukgi.org.uk</v>
      </c>
    </row>
    <row r="229" spans="1:11" ht="25.5" hidden="1" x14ac:dyDescent="0.2">
      <c r="A229" s="4" t="s">
        <v>759</v>
      </c>
      <c r="B229" s="4" t="s">
        <v>178</v>
      </c>
      <c r="C229" s="4"/>
      <c r="D229" s="4" t="s">
        <v>37</v>
      </c>
      <c r="E229" s="2" t="s">
        <v>760</v>
      </c>
      <c r="F229" s="2" t="s">
        <v>761</v>
      </c>
      <c r="G229" s="2" t="s">
        <v>431</v>
      </c>
      <c r="H229" s="2" t="s">
        <v>710</v>
      </c>
      <c r="K229" s="5" t="str">
        <f>CONCATENATE(Table1[[#This Row],[Lead UKGI Contact Forename]],".",Table1[[#This Row],[Lead UKGI Contact Surname]],"@ukgi.org.uk")</f>
        <v>.@ukgi.org.uk</v>
      </c>
    </row>
    <row r="230" spans="1:11" ht="25.5" hidden="1" x14ac:dyDescent="0.2">
      <c r="A230" s="4" t="s">
        <v>762</v>
      </c>
      <c r="B230" s="4" t="s">
        <v>763</v>
      </c>
      <c r="C230" s="4"/>
      <c r="D230" s="4" t="s">
        <v>37</v>
      </c>
      <c r="E230" s="2" t="s">
        <v>764</v>
      </c>
      <c r="F230" s="2" t="s">
        <v>232</v>
      </c>
      <c r="G230" s="2" t="s">
        <v>431</v>
      </c>
      <c r="H230" s="2" t="s">
        <v>710</v>
      </c>
      <c r="K230" s="5" t="str">
        <f>CONCATENATE(Table1[[#This Row],[Lead UKGI Contact Forename]],".",Table1[[#This Row],[Lead UKGI Contact Surname]],"@ukgi.org.uk")</f>
        <v>.@ukgi.org.uk</v>
      </c>
    </row>
    <row r="231" spans="1:11" ht="25.5" hidden="1" x14ac:dyDescent="0.2">
      <c r="A231" s="4" t="s">
        <v>765</v>
      </c>
      <c r="B231" s="4" t="s">
        <v>766</v>
      </c>
      <c r="C231" s="4"/>
      <c r="D231" s="4" t="s">
        <v>37</v>
      </c>
      <c r="E231" s="2" t="s">
        <v>767</v>
      </c>
      <c r="F231" s="2" t="s">
        <v>768</v>
      </c>
      <c r="G231" s="2" t="s">
        <v>431</v>
      </c>
      <c r="H231" s="2" t="s">
        <v>710</v>
      </c>
      <c r="K231" s="5" t="str">
        <f>CONCATENATE(Table1[[#This Row],[Lead UKGI Contact Forename]],".",Table1[[#This Row],[Lead UKGI Contact Surname]],"@ukgi.org.uk")</f>
        <v>.@ukgi.org.uk</v>
      </c>
    </row>
    <row r="232" spans="1:11" ht="25.5" hidden="1" x14ac:dyDescent="0.2">
      <c r="A232" s="4" t="s">
        <v>769</v>
      </c>
      <c r="B232" s="4" t="s">
        <v>265</v>
      </c>
      <c r="C232" s="4"/>
      <c r="D232" s="4" t="s">
        <v>37</v>
      </c>
      <c r="E232" s="2" t="s">
        <v>770</v>
      </c>
      <c r="F232" s="2" t="s">
        <v>727</v>
      </c>
      <c r="G232" s="2" t="s">
        <v>431</v>
      </c>
      <c r="H232" s="2" t="s">
        <v>710</v>
      </c>
      <c r="K232" s="5" t="str">
        <f>CONCATENATE(Table1[[#This Row],[Lead UKGI Contact Forename]],".",Table1[[#This Row],[Lead UKGI Contact Surname]],"@ukgi.org.uk")</f>
        <v>.@ukgi.org.uk</v>
      </c>
    </row>
    <row r="233" spans="1:11" ht="25.5" hidden="1" x14ac:dyDescent="0.2">
      <c r="A233" s="4" t="s">
        <v>771</v>
      </c>
      <c r="B233" s="4" t="s">
        <v>449</v>
      </c>
      <c r="C233" s="4"/>
      <c r="D233" s="4" t="s">
        <v>37</v>
      </c>
      <c r="E233" s="2" t="s">
        <v>772</v>
      </c>
      <c r="F233" s="2" t="s">
        <v>731</v>
      </c>
      <c r="G233" s="2" t="s">
        <v>431</v>
      </c>
      <c r="H233" s="2" t="s">
        <v>710</v>
      </c>
      <c r="K233" s="5" t="str">
        <f>CONCATENATE(Table1[[#This Row],[Lead UKGI Contact Forename]],".",Table1[[#This Row],[Lead UKGI Contact Surname]],"@ukgi.org.uk")</f>
        <v>.@ukgi.org.uk</v>
      </c>
    </row>
    <row r="234" spans="1:11" hidden="1" x14ac:dyDescent="0.2">
      <c r="A234" s="4" t="s">
        <v>773</v>
      </c>
      <c r="B234" s="4" t="s">
        <v>152</v>
      </c>
      <c r="C234" s="4"/>
      <c r="D234" s="4" t="s">
        <v>37</v>
      </c>
      <c r="E234" s="2" t="s">
        <v>774</v>
      </c>
      <c r="F234" s="2" t="s">
        <v>731</v>
      </c>
      <c r="G234" s="2" t="s">
        <v>431</v>
      </c>
      <c r="H234" s="2" t="s">
        <v>710</v>
      </c>
      <c r="K234" s="5" t="str">
        <f>CONCATENATE(Table1[[#This Row],[Lead UKGI Contact Forename]],".",Table1[[#This Row],[Lead UKGI Contact Surname]],"@ukgi.org.uk")</f>
        <v>.@ukgi.org.uk</v>
      </c>
    </row>
    <row r="235" spans="1:11" ht="25.5" hidden="1" x14ac:dyDescent="0.2">
      <c r="A235" s="4" t="s">
        <v>775</v>
      </c>
      <c r="B235" s="4" t="s">
        <v>776</v>
      </c>
      <c r="C235" s="4"/>
      <c r="D235" s="4" t="s">
        <v>37</v>
      </c>
      <c r="E235" s="2" t="s">
        <v>777</v>
      </c>
      <c r="F235" s="2" t="s">
        <v>727</v>
      </c>
      <c r="G235" s="2" t="s">
        <v>431</v>
      </c>
      <c r="H235" s="2" t="s">
        <v>710</v>
      </c>
      <c r="K235" s="5" t="str">
        <f>CONCATENATE(Table1[[#This Row],[Lead UKGI Contact Forename]],".",Table1[[#This Row],[Lead UKGI Contact Surname]],"@ukgi.org.uk")</f>
        <v>.@ukgi.org.uk</v>
      </c>
    </row>
    <row r="236" spans="1:11" hidden="1" x14ac:dyDescent="0.2">
      <c r="A236" s="4" t="s">
        <v>778</v>
      </c>
      <c r="B236" s="4" t="s">
        <v>343</v>
      </c>
      <c r="C236" s="4"/>
      <c r="D236" s="4" t="s">
        <v>37</v>
      </c>
      <c r="E236" s="2" t="s">
        <v>779</v>
      </c>
      <c r="F236" s="2" t="s">
        <v>721</v>
      </c>
      <c r="G236" s="2" t="s">
        <v>431</v>
      </c>
      <c r="H236" s="2" t="s">
        <v>710</v>
      </c>
      <c r="K236" s="5" t="str">
        <f>CONCATENATE(Table1[[#This Row],[Lead UKGI Contact Forename]],".",Table1[[#This Row],[Lead UKGI Contact Surname]],"@ukgi.org.uk")</f>
        <v>.@ukgi.org.uk</v>
      </c>
    </row>
    <row r="237" spans="1:11" hidden="1" x14ac:dyDescent="0.2">
      <c r="A237" s="4" t="s">
        <v>780</v>
      </c>
      <c r="B237" s="4" t="s">
        <v>781</v>
      </c>
      <c r="C237" s="4"/>
      <c r="D237" s="4" t="s">
        <v>37</v>
      </c>
      <c r="E237" s="2" t="s">
        <v>782</v>
      </c>
      <c r="F237" s="2" t="s">
        <v>721</v>
      </c>
      <c r="G237" s="2" t="s">
        <v>431</v>
      </c>
      <c r="H237" s="2" t="s">
        <v>710</v>
      </c>
      <c r="K237" s="5" t="str">
        <f>CONCATENATE(Table1[[#This Row],[Lead UKGI Contact Forename]],".",Table1[[#This Row],[Lead UKGI Contact Surname]],"@ukgi.org.uk")</f>
        <v>.@ukgi.org.uk</v>
      </c>
    </row>
    <row r="238" spans="1:11" hidden="1" x14ac:dyDescent="0.2">
      <c r="A238" s="4" t="s">
        <v>783</v>
      </c>
      <c r="B238" s="4" t="s">
        <v>152</v>
      </c>
      <c r="C238" s="4"/>
      <c r="D238" s="4" t="s">
        <v>37</v>
      </c>
      <c r="E238" s="2" t="s">
        <v>784</v>
      </c>
      <c r="F238" s="2" t="s">
        <v>731</v>
      </c>
      <c r="G238" s="2" t="s">
        <v>431</v>
      </c>
      <c r="H238" s="2" t="s">
        <v>710</v>
      </c>
      <c r="K238" s="5" t="str">
        <f>CONCATENATE(Table1[[#This Row],[Lead UKGI Contact Forename]],".",Table1[[#This Row],[Lead UKGI Contact Surname]],"@ukgi.org.uk")</f>
        <v>.@ukgi.org.uk</v>
      </c>
    </row>
    <row r="239" spans="1:11" hidden="1" x14ac:dyDescent="0.2">
      <c r="A239" s="4" t="s">
        <v>785</v>
      </c>
      <c r="B239" s="4" t="s">
        <v>786</v>
      </c>
      <c r="C239" s="4"/>
      <c r="D239" s="4" t="s">
        <v>37</v>
      </c>
      <c r="E239" s="2" t="s">
        <v>787</v>
      </c>
      <c r="F239" s="2" t="s">
        <v>737</v>
      </c>
      <c r="G239" s="2" t="s">
        <v>431</v>
      </c>
      <c r="H239" s="2" t="s">
        <v>710</v>
      </c>
      <c r="K239" s="5" t="str">
        <f>CONCATENATE(Table1[[#This Row],[Lead UKGI Contact Forename]],".",Table1[[#This Row],[Lead UKGI Contact Surname]],"@ukgi.org.uk")</f>
        <v>.@ukgi.org.uk</v>
      </c>
    </row>
    <row r="240" spans="1:11" hidden="1" x14ac:dyDescent="0.2">
      <c r="A240" s="4" t="s">
        <v>788</v>
      </c>
      <c r="B240" s="4" t="s">
        <v>51</v>
      </c>
      <c r="C240" s="4"/>
      <c r="D240" s="4" t="s">
        <v>45</v>
      </c>
      <c r="E240" s="2" t="s">
        <v>789</v>
      </c>
      <c r="F240" s="2" t="s">
        <v>734</v>
      </c>
      <c r="G240" s="2" t="s">
        <v>431</v>
      </c>
      <c r="H240" s="2" t="s">
        <v>710</v>
      </c>
      <c r="K240" s="5" t="str">
        <f>CONCATENATE(Table1[[#This Row],[Lead UKGI Contact Forename]],".",Table1[[#This Row],[Lead UKGI Contact Surname]],"@ukgi.org.uk")</f>
        <v>.@ukgi.org.uk</v>
      </c>
    </row>
    <row r="241" spans="1:11" hidden="1" x14ac:dyDescent="0.2">
      <c r="A241" s="4" t="s">
        <v>790</v>
      </c>
      <c r="B241" s="4" t="s">
        <v>646</v>
      </c>
      <c r="C241" s="4"/>
      <c r="D241" s="4" t="s">
        <v>37</v>
      </c>
      <c r="E241" s="2" t="s">
        <v>791</v>
      </c>
      <c r="F241" s="2" t="s">
        <v>792</v>
      </c>
      <c r="G241" s="2" t="s">
        <v>431</v>
      </c>
      <c r="H241" s="2" t="s">
        <v>710</v>
      </c>
      <c r="K241" s="5" t="str">
        <f>CONCATENATE(Table1[[#This Row],[Lead UKGI Contact Forename]],".",Table1[[#This Row],[Lead UKGI Contact Surname]],"@ukgi.org.uk")</f>
        <v>.@ukgi.org.uk</v>
      </c>
    </row>
    <row r="242" spans="1:11" ht="25.5" hidden="1" x14ac:dyDescent="0.2">
      <c r="A242" s="4" t="s">
        <v>793</v>
      </c>
      <c r="B242" s="4" t="s">
        <v>794</v>
      </c>
      <c r="C242" s="4"/>
      <c r="D242" s="4" t="s">
        <v>37</v>
      </c>
      <c r="E242" s="2" t="s">
        <v>795</v>
      </c>
      <c r="F242" s="2" t="s">
        <v>761</v>
      </c>
      <c r="G242" s="2" t="s">
        <v>431</v>
      </c>
      <c r="H242" s="2" t="s">
        <v>710</v>
      </c>
      <c r="K242" s="5" t="str">
        <f>CONCATENATE(Table1[[#This Row],[Lead UKGI Contact Forename]],".",Table1[[#This Row],[Lead UKGI Contact Surname]],"@ukgi.org.uk")</f>
        <v>.@ukgi.org.uk</v>
      </c>
    </row>
    <row r="243" spans="1:11" hidden="1" x14ac:dyDescent="0.2">
      <c r="A243" s="4" t="s">
        <v>796</v>
      </c>
      <c r="B243" s="4" t="s">
        <v>121</v>
      </c>
      <c r="C243" s="4"/>
      <c r="D243" s="4" t="s">
        <v>37</v>
      </c>
      <c r="E243" s="2" t="s">
        <v>797</v>
      </c>
      <c r="F243" s="2" t="s">
        <v>724</v>
      </c>
      <c r="G243" s="2" t="s">
        <v>431</v>
      </c>
      <c r="H243" s="2" t="s">
        <v>710</v>
      </c>
      <c r="K243" s="5" t="str">
        <f>CONCATENATE(Table1[[#This Row],[Lead UKGI Contact Forename]],".",Table1[[#This Row],[Lead UKGI Contact Surname]],"@ukgi.org.uk")</f>
        <v>.@ukgi.org.uk</v>
      </c>
    </row>
    <row r="244" spans="1:11" ht="25.5" hidden="1" x14ac:dyDescent="0.2">
      <c r="A244" s="4" t="s">
        <v>798</v>
      </c>
      <c r="B244" s="4" t="s">
        <v>51</v>
      </c>
      <c r="C244" s="4"/>
      <c r="D244" s="4" t="s">
        <v>37</v>
      </c>
      <c r="E244" s="2" t="s">
        <v>799</v>
      </c>
      <c r="F244" s="2" t="s">
        <v>721</v>
      </c>
      <c r="G244" s="2" t="s">
        <v>431</v>
      </c>
      <c r="H244" s="2" t="s">
        <v>710</v>
      </c>
      <c r="K244" s="5" t="str">
        <f>CONCATENATE(Table1[[#This Row],[Lead UKGI Contact Forename]],".",Table1[[#This Row],[Lead UKGI Contact Surname]],"@ukgi.org.uk")</f>
        <v>.@ukgi.org.uk</v>
      </c>
    </row>
    <row r="245" spans="1:11" hidden="1" x14ac:dyDescent="0.2">
      <c r="A245" s="4" t="s">
        <v>800</v>
      </c>
      <c r="B245" s="4" t="s">
        <v>801</v>
      </c>
      <c r="C245" s="4"/>
      <c r="D245" s="4" t="s">
        <v>37</v>
      </c>
      <c r="E245" s="2" t="s">
        <v>802</v>
      </c>
      <c r="F245" s="2" t="s">
        <v>724</v>
      </c>
      <c r="G245" s="2" t="s">
        <v>431</v>
      </c>
      <c r="H245" s="2" t="s">
        <v>710</v>
      </c>
      <c r="K245" s="5" t="str">
        <f>CONCATENATE(Table1[[#This Row],[Lead UKGI Contact Forename]],".",Table1[[#This Row],[Lead UKGI Contact Surname]],"@ukgi.org.uk")</f>
        <v>.@ukgi.org.uk</v>
      </c>
    </row>
    <row r="246" spans="1:11" ht="25.5" hidden="1" x14ac:dyDescent="0.2">
      <c r="A246" s="4" t="s">
        <v>803</v>
      </c>
      <c r="B246" s="4" t="s">
        <v>661</v>
      </c>
      <c r="C246" s="4"/>
      <c r="D246" s="4" t="s">
        <v>37</v>
      </c>
      <c r="E246" s="2" t="s">
        <v>804</v>
      </c>
      <c r="F246" s="2" t="s">
        <v>715</v>
      </c>
      <c r="G246" s="2" t="s">
        <v>431</v>
      </c>
      <c r="H246" s="2" t="s">
        <v>710</v>
      </c>
      <c r="K246" s="5" t="str">
        <f>CONCATENATE(Table1[[#This Row],[Lead UKGI Contact Forename]],".",Table1[[#This Row],[Lead UKGI Contact Surname]],"@ukgi.org.uk")</f>
        <v>.@ukgi.org.uk</v>
      </c>
    </row>
    <row r="247" spans="1:11" ht="25.5" hidden="1" x14ac:dyDescent="0.2">
      <c r="A247" s="4" t="s">
        <v>89</v>
      </c>
      <c r="B247" s="4" t="s">
        <v>55</v>
      </c>
      <c r="C247" s="4"/>
      <c r="D247" s="4" t="s">
        <v>37</v>
      </c>
      <c r="E247" s="2" t="s">
        <v>805</v>
      </c>
      <c r="F247" s="2" t="s">
        <v>724</v>
      </c>
      <c r="G247" s="2" t="s">
        <v>431</v>
      </c>
      <c r="H247" s="2" t="s">
        <v>710</v>
      </c>
      <c r="K247" s="5" t="str">
        <f>CONCATENATE(Table1[[#This Row],[Lead UKGI Contact Forename]],".",Table1[[#This Row],[Lead UKGI Contact Surname]],"@ukgi.org.uk")</f>
        <v>.@ukgi.org.uk</v>
      </c>
    </row>
    <row r="248" spans="1:11" hidden="1" x14ac:dyDescent="0.2">
      <c r="A248" s="4" t="s">
        <v>806</v>
      </c>
      <c r="B248" s="4" t="s">
        <v>807</v>
      </c>
      <c r="C248" s="4"/>
      <c r="D248" s="4" t="s">
        <v>45</v>
      </c>
      <c r="E248" s="2" t="s">
        <v>808</v>
      </c>
      <c r="F248" s="2" t="s">
        <v>721</v>
      </c>
      <c r="G248" s="2" t="s">
        <v>431</v>
      </c>
      <c r="H248" s="2" t="s">
        <v>710</v>
      </c>
      <c r="K248" s="5" t="str">
        <f>CONCATENATE(Table1[[#This Row],[Lead UKGI Contact Forename]],".",Table1[[#This Row],[Lead UKGI Contact Surname]],"@ukgi.org.uk")</f>
        <v>.@ukgi.org.uk</v>
      </c>
    </row>
    <row r="249" spans="1:11" hidden="1" x14ac:dyDescent="0.2">
      <c r="A249" s="4" t="s">
        <v>346</v>
      </c>
      <c r="B249" s="4" t="s">
        <v>646</v>
      </c>
      <c r="C249" s="4"/>
      <c r="D249" s="4" t="s">
        <v>37</v>
      </c>
      <c r="E249" s="2" t="s">
        <v>809</v>
      </c>
      <c r="F249" s="2" t="s">
        <v>232</v>
      </c>
      <c r="G249" s="2" t="s">
        <v>431</v>
      </c>
      <c r="H249" s="2" t="s">
        <v>710</v>
      </c>
      <c r="K249" s="5" t="str">
        <f>CONCATENATE(Table1[[#This Row],[Lead UKGI Contact Forename]],".",Table1[[#This Row],[Lead UKGI Contact Surname]],"@ukgi.org.uk")</f>
        <v>.@ukgi.org.uk</v>
      </c>
    </row>
    <row r="250" spans="1:11" hidden="1" x14ac:dyDescent="0.2">
      <c r="A250" s="4" t="s">
        <v>810</v>
      </c>
      <c r="B250" s="4" t="s">
        <v>300</v>
      </c>
      <c r="C250" s="4"/>
      <c r="D250" s="4" t="s">
        <v>37</v>
      </c>
      <c r="E250" s="2" t="s">
        <v>811</v>
      </c>
      <c r="F250" s="2" t="s">
        <v>724</v>
      </c>
      <c r="G250" s="2" t="s">
        <v>431</v>
      </c>
      <c r="H250" s="2" t="s">
        <v>710</v>
      </c>
      <c r="K250" s="5" t="str">
        <f>CONCATENATE(Table1[[#This Row],[Lead UKGI Contact Forename]],".",Table1[[#This Row],[Lead UKGI Contact Surname]],"@ukgi.org.uk")</f>
        <v>.@ukgi.org.uk</v>
      </c>
    </row>
    <row r="251" spans="1:11" hidden="1" x14ac:dyDescent="0.2">
      <c r="A251" s="4" t="s">
        <v>812</v>
      </c>
      <c r="B251" s="4" t="s">
        <v>813</v>
      </c>
      <c r="C251" s="4"/>
      <c r="D251" s="4" t="s">
        <v>37</v>
      </c>
      <c r="E251" s="2" t="s">
        <v>814</v>
      </c>
      <c r="F251" s="2" t="s">
        <v>721</v>
      </c>
      <c r="G251" s="2" t="s">
        <v>431</v>
      </c>
      <c r="H251" s="2" t="s">
        <v>710</v>
      </c>
      <c r="K251" s="5" t="str">
        <f>CONCATENATE(Table1[[#This Row],[Lead UKGI Contact Forename]],".",Table1[[#This Row],[Lead UKGI Contact Surname]],"@ukgi.org.uk")</f>
        <v>.@ukgi.org.uk</v>
      </c>
    </row>
    <row r="252" spans="1:11" hidden="1" x14ac:dyDescent="0.2">
      <c r="A252" s="4" t="s">
        <v>139</v>
      </c>
      <c r="B252" s="4" t="s">
        <v>550</v>
      </c>
      <c r="C252" s="4"/>
      <c r="D252" s="4" t="s">
        <v>45</v>
      </c>
      <c r="E252" s="2" t="s">
        <v>815</v>
      </c>
      <c r="F252" s="2" t="s">
        <v>816</v>
      </c>
      <c r="G252" s="2" t="s">
        <v>431</v>
      </c>
      <c r="H252" s="2" t="s">
        <v>710</v>
      </c>
      <c r="K252" s="5" t="str">
        <f>CONCATENATE(Table1[[#This Row],[Lead UKGI Contact Forename]],".",Table1[[#This Row],[Lead UKGI Contact Surname]],"@ukgi.org.uk")</f>
        <v>.@ukgi.org.uk</v>
      </c>
    </row>
    <row r="253" spans="1:11" hidden="1" x14ac:dyDescent="0.2">
      <c r="A253" s="4" t="s">
        <v>817</v>
      </c>
      <c r="B253" s="4" t="s">
        <v>818</v>
      </c>
      <c r="C253" s="4"/>
      <c r="D253" s="4" t="s">
        <v>37</v>
      </c>
      <c r="E253" s="2" t="s">
        <v>819</v>
      </c>
      <c r="F253" s="2" t="s">
        <v>718</v>
      </c>
      <c r="G253" s="2" t="s">
        <v>431</v>
      </c>
      <c r="H253" s="2" t="s">
        <v>710</v>
      </c>
      <c r="K253" s="5" t="str">
        <f>CONCATENATE(Table1[[#This Row],[Lead UKGI Contact Forename]],".",Table1[[#This Row],[Lead UKGI Contact Surname]],"@ukgi.org.uk")</f>
        <v>.@ukgi.org.uk</v>
      </c>
    </row>
    <row r="254" spans="1:11" hidden="1" x14ac:dyDescent="0.2">
      <c r="A254" s="4" t="s">
        <v>820</v>
      </c>
      <c r="B254" s="4" t="s">
        <v>821</v>
      </c>
      <c r="C254" s="4"/>
      <c r="D254" s="4" t="s">
        <v>37</v>
      </c>
      <c r="E254" s="2" t="s">
        <v>822</v>
      </c>
      <c r="F254" s="2" t="s">
        <v>718</v>
      </c>
      <c r="G254" s="2" t="s">
        <v>431</v>
      </c>
      <c r="H254" s="2" t="s">
        <v>710</v>
      </c>
      <c r="K254" s="5" t="str">
        <f>CONCATENATE(Table1[[#This Row],[Lead UKGI Contact Forename]],".",Table1[[#This Row],[Lead UKGI Contact Surname]],"@ukgi.org.uk")</f>
        <v>.@ukgi.org.uk</v>
      </c>
    </row>
    <row r="255" spans="1:11" ht="25.5" hidden="1" x14ac:dyDescent="0.2">
      <c r="A255" s="4" t="s">
        <v>823</v>
      </c>
      <c r="B255" s="4" t="s">
        <v>621</v>
      </c>
      <c r="C255" s="4"/>
      <c r="D255" s="4" t="s">
        <v>37</v>
      </c>
      <c r="E255" s="2" t="s">
        <v>824</v>
      </c>
      <c r="F255" s="2" t="s">
        <v>718</v>
      </c>
      <c r="G255" s="2" t="s">
        <v>431</v>
      </c>
      <c r="H255" s="2" t="s">
        <v>710</v>
      </c>
      <c r="K255" s="5" t="str">
        <f>CONCATENATE(Table1[[#This Row],[Lead UKGI Contact Forename]],".",Table1[[#This Row],[Lead UKGI Contact Surname]],"@ukgi.org.uk")</f>
        <v>.@ukgi.org.uk</v>
      </c>
    </row>
    <row r="256" spans="1:11" hidden="1" x14ac:dyDescent="0.2">
      <c r="A256" s="4" t="s">
        <v>825</v>
      </c>
      <c r="B256" s="4" t="s">
        <v>103</v>
      </c>
      <c r="C256" s="4"/>
      <c r="D256" s="4" t="s">
        <v>45</v>
      </c>
      <c r="E256" s="2" t="s">
        <v>826</v>
      </c>
      <c r="F256" s="2" t="s">
        <v>734</v>
      </c>
      <c r="G256" s="2" t="s">
        <v>431</v>
      </c>
      <c r="H256" s="2" t="s">
        <v>710</v>
      </c>
      <c r="K256" s="5" t="str">
        <f>CONCATENATE(Table1[[#This Row],[Lead UKGI Contact Forename]],".",Table1[[#This Row],[Lead UKGI Contact Surname]],"@ukgi.org.uk")</f>
        <v>.@ukgi.org.uk</v>
      </c>
    </row>
    <row r="257" spans="1:11" ht="25.5" hidden="1" x14ac:dyDescent="0.2">
      <c r="A257" s="4" t="s">
        <v>692</v>
      </c>
      <c r="B257" s="4" t="s">
        <v>139</v>
      </c>
      <c r="C257" s="4"/>
      <c r="D257" s="4" t="s">
        <v>37</v>
      </c>
      <c r="E257" s="2" t="s">
        <v>827</v>
      </c>
      <c r="F257" s="2" t="s">
        <v>727</v>
      </c>
      <c r="G257" s="2" t="s">
        <v>431</v>
      </c>
      <c r="H257" s="2" t="s">
        <v>710</v>
      </c>
      <c r="K257" s="5" t="str">
        <f>CONCATENATE(Table1[[#This Row],[Lead UKGI Contact Forename]],".",Table1[[#This Row],[Lead UKGI Contact Surname]],"@ukgi.org.uk")</f>
        <v>.@ukgi.org.uk</v>
      </c>
    </row>
    <row r="258" spans="1:11" hidden="1" x14ac:dyDescent="0.2">
      <c r="A258" s="4" t="s">
        <v>828</v>
      </c>
      <c r="B258" s="4" t="s">
        <v>63</v>
      </c>
      <c r="C258" s="4"/>
      <c r="D258" s="4" t="s">
        <v>37</v>
      </c>
      <c r="E258" s="2" t="s">
        <v>829</v>
      </c>
      <c r="F258" s="2" t="s">
        <v>721</v>
      </c>
      <c r="G258" s="2" t="s">
        <v>431</v>
      </c>
      <c r="H258" s="2" t="s">
        <v>710</v>
      </c>
      <c r="K258" s="5" t="str">
        <f>CONCATENATE(Table1[[#This Row],[Lead UKGI Contact Forename]],".",Table1[[#This Row],[Lead UKGI Contact Surname]],"@ukgi.org.uk")</f>
        <v>.@ukgi.org.uk</v>
      </c>
    </row>
    <row r="259" spans="1:11" hidden="1" x14ac:dyDescent="0.2">
      <c r="A259" s="4" t="s">
        <v>830</v>
      </c>
      <c r="B259" s="4" t="s">
        <v>831</v>
      </c>
      <c r="C259" s="4"/>
      <c r="D259" s="4" t="s">
        <v>37</v>
      </c>
      <c r="E259" s="2" t="s">
        <v>832</v>
      </c>
      <c r="F259" s="2" t="s">
        <v>727</v>
      </c>
      <c r="G259" s="2" t="s">
        <v>431</v>
      </c>
      <c r="H259" s="2" t="s">
        <v>710</v>
      </c>
      <c r="K259" s="5" t="str">
        <f>CONCATENATE(Table1[[#This Row],[Lead UKGI Contact Forename]],".",Table1[[#This Row],[Lead UKGI Contact Surname]],"@ukgi.org.uk")</f>
        <v>.@ukgi.org.uk</v>
      </c>
    </row>
    <row r="260" spans="1:11" hidden="1" x14ac:dyDescent="0.2">
      <c r="A260" s="4" t="s">
        <v>833</v>
      </c>
      <c r="B260" s="4" t="s">
        <v>382</v>
      </c>
      <c r="C260" s="4"/>
      <c r="D260" s="4" t="s">
        <v>37</v>
      </c>
      <c r="E260" s="2" t="s">
        <v>834</v>
      </c>
      <c r="F260" s="2" t="s">
        <v>715</v>
      </c>
      <c r="G260" s="2" t="s">
        <v>431</v>
      </c>
      <c r="H260" s="2" t="s">
        <v>710</v>
      </c>
      <c r="K260" s="5" t="str">
        <f>CONCATENATE(Table1[[#This Row],[Lead UKGI Contact Forename]],".",Table1[[#This Row],[Lead UKGI Contact Surname]],"@ukgi.org.uk")</f>
        <v>.@ukgi.org.uk</v>
      </c>
    </row>
    <row r="261" spans="1:11" hidden="1" x14ac:dyDescent="0.2">
      <c r="A261" s="4" t="s">
        <v>835</v>
      </c>
      <c r="B261" s="4" t="s">
        <v>836</v>
      </c>
      <c r="C261" s="4"/>
      <c r="D261" s="4" t="s">
        <v>37</v>
      </c>
      <c r="E261" s="2" t="s">
        <v>837</v>
      </c>
      <c r="F261" s="2" t="s">
        <v>837</v>
      </c>
      <c r="G261" s="2" t="s">
        <v>431</v>
      </c>
      <c r="H261" s="2" t="s">
        <v>710</v>
      </c>
      <c r="K261" s="5" t="str">
        <f>CONCATENATE(Table1[[#This Row],[Lead UKGI Contact Forename]],".",Table1[[#This Row],[Lead UKGI Contact Surname]],"@ukgi.org.uk")</f>
        <v>.@ukgi.org.uk</v>
      </c>
    </row>
    <row r="262" spans="1:11" hidden="1" x14ac:dyDescent="0.2">
      <c r="A262" s="4" t="s">
        <v>838</v>
      </c>
      <c r="B262" s="4" t="s">
        <v>839</v>
      </c>
      <c r="C262" s="4"/>
      <c r="D262" s="4" t="s">
        <v>37</v>
      </c>
      <c r="E262" s="2" t="s">
        <v>840</v>
      </c>
      <c r="F262" s="2" t="s">
        <v>718</v>
      </c>
      <c r="G262" s="2" t="s">
        <v>431</v>
      </c>
      <c r="H262" s="2" t="s">
        <v>710</v>
      </c>
      <c r="K262" s="5" t="str">
        <f>CONCATENATE(Table1[[#This Row],[Lead UKGI Contact Forename]],".",Table1[[#This Row],[Lead UKGI Contact Surname]],"@ukgi.org.uk")</f>
        <v>.@ukgi.org.uk</v>
      </c>
    </row>
    <row r="263" spans="1:11" ht="25.5" hidden="1" x14ac:dyDescent="0.2">
      <c r="A263" s="4" t="s">
        <v>841</v>
      </c>
      <c r="B263" s="4" t="s">
        <v>842</v>
      </c>
      <c r="C263" s="4"/>
      <c r="D263" s="4" t="s">
        <v>45</v>
      </c>
      <c r="E263" s="2" t="s">
        <v>843</v>
      </c>
      <c r="F263" s="2" t="s">
        <v>727</v>
      </c>
      <c r="G263" s="2" t="s">
        <v>431</v>
      </c>
      <c r="H263" s="2" t="s">
        <v>710</v>
      </c>
      <c r="K263" s="5" t="str">
        <f>CONCATENATE(Table1[[#This Row],[Lead UKGI Contact Forename]],".",Table1[[#This Row],[Lead UKGI Contact Surname]],"@ukgi.org.uk")</f>
        <v>.@ukgi.org.uk</v>
      </c>
    </row>
    <row r="264" spans="1:11" hidden="1" x14ac:dyDescent="0.2">
      <c r="A264" s="4" t="s">
        <v>844</v>
      </c>
      <c r="B264" s="4" t="s">
        <v>681</v>
      </c>
      <c r="C264" s="4"/>
      <c r="D264" s="4" t="s">
        <v>37</v>
      </c>
      <c r="E264" s="2" t="s">
        <v>845</v>
      </c>
      <c r="F264" s="2" t="s">
        <v>715</v>
      </c>
      <c r="G264" s="2" t="s">
        <v>431</v>
      </c>
      <c r="H264" s="2" t="s">
        <v>710</v>
      </c>
      <c r="K264" s="5" t="str">
        <f>CONCATENATE(Table1[[#This Row],[Lead UKGI Contact Forename]],".",Table1[[#This Row],[Lead UKGI Contact Surname]],"@ukgi.org.uk")</f>
        <v>.@ukgi.org.uk</v>
      </c>
    </row>
    <row r="265" spans="1:11" ht="25.5" hidden="1" x14ac:dyDescent="0.2">
      <c r="A265" s="4" t="s">
        <v>374</v>
      </c>
      <c r="B265" s="4" t="s">
        <v>846</v>
      </c>
      <c r="C265" s="4"/>
      <c r="D265" s="4" t="s">
        <v>37</v>
      </c>
      <c r="E265" s="2" t="s">
        <v>847</v>
      </c>
      <c r="F265" s="2" t="s">
        <v>737</v>
      </c>
      <c r="G265" s="2" t="s">
        <v>431</v>
      </c>
      <c r="H265" s="2" t="s">
        <v>710</v>
      </c>
      <c r="K265" s="5" t="str">
        <f>CONCATENATE(Table1[[#This Row],[Lead UKGI Contact Forename]],".",Table1[[#This Row],[Lead UKGI Contact Surname]],"@ukgi.org.uk")</f>
        <v>.@ukgi.org.uk</v>
      </c>
    </row>
    <row r="266" spans="1:11" hidden="1" x14ac:dyDescent="0.2">
      <c r="A266" s="4" t="s">
        <v>134</v>
      </c>
      <c r="B266" s="4" t="s">
        <v>142</v>
      </c>
      <c r="C266" s="4"/>
      <c r="D266" s="4" t="s">
        <v>37</v>
      </c>
      <c r="E266" s="2" t="s">
        <v>493</v>
      </c>
      <c r="F266" s="2" t="s">
        <v>734</v>
      </c>
      <c r="G266" s="2" t="s">
        <v>431</v>
      </c>
      <c r="H266" s="2" t="s">
        <v>710</v>
      </c>
      <c r="K266" s="5" t="str">
        <f>CONCATENATE(Table1[[#This Row],[Lead UKGI Contact Forename]],".",Table1[[#This Row],[Lead UKGI Contact Surname]],"@ukgi.org.uk")</f>
        <v>.@ukgi.org.uk</v>
      </c>
    </row>
    <row r="267" spans="1:11" hidden="1" x14ac:dyDescent="0.2">
      <c r="A267" s="4" t="s">
        <v>139</v>
      </c>
      <c r="B267" s="4" t="s">
        <v>303</v>
      </c>
      <c r="C267" s="4"/>
      <c r="D267" s="4" t="s">
        <v>37</v>
      </c>
      <c r="E267" s="2" t="s">
        <v>848</v>
      </c>
      <c r="F267" s="2" t="s">
        <v>727</v>
      </c>
      <c r="G267" s="2" t="s">
        <v>431</v>
      </c>
      <c r="H267" s="2" t="s">
        <v>710</v>
      </c>
      <c r="K267" s="5" t="str">
        <f>CONCATENATE(Table1[[#This Row],[Lead UKGI Contact Forename]],".",Table1[[#This Row],[Lead UKGI Contact Surname]],"@ukgi.org.uk")</f>
        <v>.@ukgi.org.uk</v>
      </c>
    </row>
    <row r="268" spans="1:11" hidden="1" x14ac:dyDescent="0.2">
      <c r="A268" s="4" t="s">
        <v>849</v>
      </c>
      <c r="B268" s="4" t="s">
        <v>646</v>
      </c>
      <c r="C268" s="4"/>
      <c r="D268" s="4" t="s">
        <v>37</v>
      </c>
      <c r="E268" s="2" t="s">
        <v>739</v>
      </c>
      <c r="F268" s="2" t="s">
        <v>721</v>
      </c>
      <c r="G268" s="2" t="s">
        <v>431</v>
      </c>
      <c r="H268" s="2" t="s">
        <v>710</v>
      </c>
      <c r="K268" s="5" t="str">
        <f>CONCATENATE(Table1[[#This Row],[Lead UKGI Contact Forename]],".",Table1[[#This Row],[Lead UKGI Contact Surname]],"@ukgi.org.uk")</f>
        <v>.@ukgi.org.uk</v>
      </c>
    </row>
    <row r="269" spans="1:11" hidden="1" x14ac:dyDescent="0.2">
      <c r="A269" s="4" t="s">
        <v>803</v>
      </c>
      <c r="B269" s="4" t="s">
        <v>103</v>
      </c>
      <c r="C269" s="4"/>
      <c r="D269" s="4" t="s">
        <v>37</v>
      </c>
      <c r="E269" s="2" t="s">
        <v>850</v>
      </c>
      <c r="F269" s="2" t="s">
        <v>724</v>
      </c>
      <c r="G269" s="2" t="s">
        <v>431</v>
      </c>
      <c r="H269" s="2" t="s">
        <v>710</v>
      </c>
      <c r="K269" s="5" t="str">
        <f>CONCATENATE(Table1[[#This Row],[Lead UKGI Contact Forename]],".",Table1[[#This Row],[Lead UKGI Contact Surname]],"@ukgi.org.uk")</f>
        <v>.@ukgi.org.uk</v>
      </c>
    </row>
    <row r="270" spans="1:11" hidden="1" x14ac:dyDescent="0.2">
      <c r="A270" s="4" t="s">
        <v>549</v>
      </c>
      <c r="B270" s="4" t="s">
        <v>286</v>
      </c>
      <c r="C270" s="4"/>
      <c r="D270" s="4" t="s">
        <v>45</v>
      </c>
      <c r="E270" s="2" t="s">
        <v>851</v>
      </c>
      <c r="F270" s="2" t="s">
        <v>232</v>
      </c>
      <c r="G270" s="2" t="s">
        <v>431</v>
      </c>
      <c r="H270" s="2" t="s">
        <v>710</v>
      </c>
      <c r="K270" s="5" t="str">
        <f>CONCATENATE(Table1[[#This Row],[Lead UKGI Contact Forename]],".",Table1[[#This Row],[Lead UKGI Contact Surname]],"@ukgi.org.uk")</f>
        <v>.@ukgi.org.uk</v>
      </c>
    </row>
    <row r="271" spans="1:11" ht="25.5" hidden="1" x14ac:dyDescent="0.2">
      <c r="A271" s="4" t="s">
        <v>852</v>
      </c>
      <c r="B271" s="4" t="s">
        <v>853</v>
      </c>
      <c r="C271" s="4"/>
      <c r="D271" s="4" t="s">
        <v>37</v>
      </c>
      <c r="E271" s="2" t="s">
        <v>854</v>
      </c>
      <c r="F271" s="2" t="s">
        <v>727</v>
      </c>
      <c r="G271" s="2" t="s">
        <v>431</v>
      </c>
      <c r="H271" s="2" t="s">
        <v>710</v>
      </c>
      <c r="K271" s="5" t="str">
        <f>CONCATENATE(Table1[[#This Row],[Lead UKGI Contact Forename]],".",Table1[[#This Row],[Lead UKGI Contact Surname]],"@ukgi.org.uk")</f>
        <v>.@ukgi.org.uk</v>
      </c>
    </row>
    <row r="272" spans="1:11" hidden="1" x14ac:dyDescent="0.2">
      <c r="A272" s="4" t="s">
        <v>243</v>
      </c>
      <c r="B272" s="4" t="s">
        <v>609</v>
      </c>
      <c r="C272" s="4"/>
      <c r="D272" s="4" t="s">
        <v>37</v>
      </c>
      <c r="E272" s="2" t="s">
        <v>845</v>
      </c>
      <c r="F272" s="2" t="s">
        <v>715</v>
      </c>
      <c r="G272" s="2" t="s">
        <v>431</v>
      </c>
      <c r="H272" s="2" t="s">
        <v>710</v>
      </c>
      <c r="K272" s="5" t="str">
        <f>CONCATENATE(Table1[[#This Row],[Lead UKGI Contact Forename]],".",Table1[[#This Row],[Lead UKGI Contact Surname]],"@ukgi.org.uk")</f>
        <v>.@ukgi.org.uk</v>
      </c>
    </row>
    <row r="273" spans="1:11" hidden="1" x14ac:dyDescent="0.2">
      <c r="A273" s="4" t="s">
        <v>855</v>
      </c>
      <c r="B273" s="4" t="s">
        <v>382</v>
      </c>
      <c r="C273" s="4"/>
      <c r="D273" s="4" t="s">
        <v>37</v>
      </c>
      <c r="E273" s="2" t="s">
        <v>856</v>
      </c>
      <c r="F273" s="2" t="s">
        <v>715</v>
      </c>
      <c r="G273" s="2" t="s">
        <v>431</v>
      </c>
      <c r="H273" s="2" t="s">
        <v>710</v>
      </c>
      <c r="K273" s="5" t="str">
        <f>CONCATENATE(Table1[[#This Row],[Lead UKGI Contact Forename]],".",Table1[[#This Row],[Lead UKGI Contact Surname]],"@ukgi.org.uk")</f>
        <v>.@ukgi.org.uk</v>
      </c>
    </row>
    <row r="274" spans="1:11" hidden="1" x14ac:dyDescent="0.2">
      <c r="A274" s="4" t="s">
        <v>857</v>
      </c>
      <c r="B274" s="4" t="s">
        <v>109</v>
      </c>
      <c r="C274" s="4"/>
      <c r="D274" s="4" t="s">
        <v>37</v>
      </c>
      <c r="E274" s="2" t="s">
        <v>858</v>
      </c>
      <c r="F274" s="2" t="s">
        <v>721</v>
      </c>
      <c r="G274" s="2" t="s">
        <v>431</v>
      </c>
      <c r="H274" s="2" t="s">
        <v>710</v>
      </c>
      <c r="K274" s="5" t="str">
        <f>CONCATENATE(Table1[[#This Row],[Lead UKGI Contact Forename]],".",Table1[[#This Row],[Lead UKGI Contact Surname]],"@ukgi.org.uk")</f>
        <v>.@ukgi.org.uk</v>
      </c>
    </row>
    <row r="275" spans="1:11" hidden="1" x14ac:dyDescent="0.2">
      <c r="A275" s="4" t="s">
        <v>859</v>
      </c>
      <c r="B275" s="4" t="s">
        <v>860</v>
      </c>
      <c r="C275" s="4"/>
      <c r="D275" s="4" t="s">
        <v>37</v>
      </c>
      <c r="E275" s="2" t="s">
        <v>861</v>
      </c>
      <c r="F275" s="2" t="s">
        <v>721</v>
      </c>
      <c r="G275" s="2" t="s">
        <v>431</v>
      </c>
      <c r="H275" s="2" t="s">
        <v>710</v>
      </c>
      <c r="K275" s="5" t="str">
        <f>CONCATENATE(Table1[[#This Row],[Lead UKGI Contact Forename]],".",Table1[[#This Row],[Lead UKGI Contact Surname]],"@ukgi.org.uk")</f>
        <v>.@ukgi.org.uk</v>
      </c>
    </row>
    <row r="276" spans="1:11" hidden="1" x14ac:dyDescent="0.2">
      <c r="A276" s="4" t="s">
        <v>862</v>
      </c>
      <c r="B276" s="4" t="s">
        <v>265</v>
      </c>
      <c r="C276" s="4"/>
      <c r="D276" s="4" t="s">
        <v>45</v>
      </c>
      <c r="E276" s="2" t="s">
        <v>863</v>
      </c>
      <c r="F276" s="2" t="s">
        <v>721</v>
      </c>
      <c r="G276" s="2" t="s">
        <v>431</v>
      </c>
      <c r="H276" s="2" t="s">
        <v>710</v>
      </c>
      <c r="K276" s="5" t="str">
        <f>CONCATENATE(Table1[[#This Row],[Lead UKGI Contact Forename]],".",Table1[[#This Row],[Lead UKGI Contact Surname]],"@ukgi.org.uk")</f>
        <v>.@ukgi.org.uk</v>
      </c>
    </row>
    <row r="277" spans="1:11" ht="25.5" hidden="1" x14ac:dyDescent="0.2">
      <c r="A277" s="4" t="s">
        <v>864</v>
      </c>
      <c r="B277" s="4" t="s">
        <v>343</v>
      </c>
      <c r="C277" s="4"/>
      <c r="D277" s="4" t="s">
        <v>45</v>
      </c>
      <c r="E277" s="2" t="s">
        <v>865</v>
      </c>
      <c r="F277" s="2" t="s">
        <v>737</v>
      </c>
      <c r="G277" s="2" t="s">
        <v>431</v>
      </c>
      <c r="H277" s="2" t="s">
        <v>710</v>
      </c>
      <c r="K277" s="5" t="str">
        <f>CONCATENATE(Table1[[#This Row],[Lead UKGI Contact Forename]],".",Table1[[#This Row],[Lead UKGI Contact Surname]],"@ukgi.org.uk")</f>
        <v>.@ukgi.org.uk</v>
      </c>
    </row>
    <row r="278" spans="1:11" hidden="1" x14ac:dyDescent="0.2">
      <c r="A278" s="4" t="s">
        <v>866</v>
      </c>
      <c r="B278" s="4" t="s">
        <v>51</v>
      </c>
      <c r="C278" s="4"/>
      <c r="D278" s="4" t="s">
        <v>45</v>
      </c>
      <c r="E278" s="2" t="s">
        <v>438</v>
      </c>
      <c r="F278" s="2" t="s">
        <v>768</v>
      </c>
      <c r="G278" s="2" t="s">
        <v>431</v>
      </c>
      <c r="H278" s="2" t="s">
        <v>710</v>
      </c>
      <c r="K278" s="5" t="str">
        <f>CONCATENATE(Table1[[#This Row],[Lead UKGI Contact Forename]],".",Table1[[#This Row],[Lead UKGI Contact Surname]],"@ukgi.org.uk")</f>
        <v>.@ukgi.org.uk</v>
      </c>
    </row>
    <row r="279" spans="1:11" hidden="1" x14ac:dyDescent="0.2">
      <c r="A279" s="4" t="s">
        <v>867</v>
      </c>
      <c r="B279" s="4" t="s">
        <v>807</v>
      </c>
      <c r="C279" s="4"/>
      <c r="D279" s="4" t="s">
        <v>45</v>
      </c>
      <c r="E279" s="2" t="s">
        <v>868</v>
      </c>
      <c r="F279" s="2" t="s">
        <v>724</v>
      </c>
      <c r="G279" s="2" t="s">
        <v>431</v>
      </c>
      <c r="H279" s="2" t="s">
        <v>710</v>
      </c>
      <c r="K279" s="5" t="str">
        <f>CONCATENATE(Table1[[#This Row],[Lead UKGI Contact Forename]],".",Table1[[#This Row],[Lead UKGI Contact Surname]],"@ukgi.org.uk")</f>
        <v>.@ukgi.org.uk</v>
      </c>
    </row>
    <row r="280" spans="1:11" hidden="1" x14ac:dyDescent="0.2">
      <c r="A280" s="4" t="s">
        <v>869</v>
      </c>
      <c r="B280" s="4" t="s">
        <v>152</v>
      </c>
      <c r="C280" s="4"/>
      <c r="D280" s="4" t="s">
        <v>37</v>
      </c>
      <c r="E280" s="2" t="s">
        <v>870</v>
      </c>
      <c r="F280" s="2" t="s">
        <v>731</v>
      </c>
      <c r="G280" s="2" t="s">
        <v>431</v>
      </c>
      <c r="H280" s="2" t="s">
        <v>710</v>
      </c>
      <c r="K280" s="5" t="str">
        <f>CONCATENATE(Table1[[#This Row],[Lead UKGI Contact Forename]],".",Table1[[#This Row],[Lead UKGI Contact Surname]],"@ukgi.org.uk")</f>
        <v>.@ukgi.org.uk</v>
      </c>
    </row>
    <row r="281" spans="1:11" hidden="1" x14ac:dyDescent="0.2">
      <c r="A281" s="4" t="s">
        <v>871</v>
      </c>
      <c r="B281" s="4" t="s">
        <v>872</v>
      </c>
      <c r="C281" s="4"/>
      <c r="D281" s="4" t="s">
        <v>45</v>
      </c>
      <c r="E281" s="2" t="s">
        <v>873</v>
      </c>
      <c r="F281" s="2" t="s">
        <v>756</v>
      </c>
      <c r="G281" s="2" t="s">
        <v>431</v>
      </c>
      <c r="H281" s="2" t="s">
        <v>710</v>
      </c>
      <c r="K281" s="5" t="str">
        <f>CONCATENATE(Table1[[#This Row],[Lead UKGI Contact Forename]],".",Table1[[#This Row],[Lead UKGI Contact Surname]],"@ukgi.org.uk")</f>
        <v>.@ukgi.org.uk</v>
      </c>
    </row>
    <row r="282" spans="1:11" hidden="1" x14ac:dyDescent="0.2">
      <c r="A282" s="4" t="s">
        <v>874</v>
      </c>
      <c r="B282" s="4" t="s">
        <v>875</v>
      </c>
      <c r="C282" s="4"/>
      <c r="D282" s="4" t="s">
        <v>37</v>
      </c>
      <c r="E282" s="2" t="s">
        <v>876</v>
      </c>
      <c r="F282" s="2" t="s">
        <v>724</v>
      </c>
      <c r="G282" s="2" t="s">
        <v>431</v>
      </c>
      <c r="H282" s="2" t="s">
        <v>710</v>
      </c>
      <c r="K282" s="5" t="str">
        <f>CONCATENATE(Table1[[#This Row],[Lead UKGI Contact Forename]],".",Table1[[#This Row],[Lead UKGI Contact Surname]],"@ukgi.org.uk")</f>
        <v>.@ukgi.org.uk</v>
      </c>
    </row>
    <row r="283" spans="1:11" hidden="1" x14ac:dyDescent="0.2">
      <c r="A283" s="4" t="s">
        <v>697</v>
      </c>
      <c r="B283" s="4" t="s">
        <v>877</v>
      </c>
      <c r="C283" s="4"/>
      <c r="D283" s="4" t="s">
        <v>37</v>
      </c>
      <c r="E283" s="2" t="s">
        <v>876</v>
      </c>
      <c r="F283" s="2" t="s">
        <v>724</v>
      </c>
      <c r="G283" s="2" t="s">
        <v>431</v>
      </c>
      <c r="H283" s="2" t="s">
        <v>710</v>
      </c>
      <c r="K283" s="5" t="str">
        <f>CONCATENATE(Table1[[#This Row],[Lead UKGI Contact Forename]],".",Table1[[#This Row],[Lead UKGI Contact Surname]],"@ukgi.org.uk")</f>
        <v>.@ukgi.org.uk</v>
      </c>
    </row>
    <row r="284" spans="1:11" ht="25.5" x14ac:dyDescent="0.2">
      <c r="A284" s="4" t="s">
        <v>878</v>
      </c>
      <c r="B284" s="4" t="s">
        <v>879</v>
      </c>
      <c r="C284" s="4"/>
      <c r="D284" s="4" t="s">
        <v>148</v>
      </c>
      <c r="E284" s="2" t="s">
        <v>149</v>
      </c>
      <c r="F284" s="2" t="s">
        <v>149</v>
      </c>
      <c r="G284" s="2" t="s">
        <v>260</v>
      </c>
      <c r="H284" s="2" t="s">
        <v>880</v>
      </c>
      <c r="K284" s="5" t="str">
        <f>CONCATENATE(Table1[[#This Row],[Lead UKGI Contact Forename]],".",Table1[[#This Row],[Lead UKGI Contact Surname]],"@ukgi.org.uk")</f>
        <v>.@ukgi.org.uk</v>
      </c>
    </row>
    <row r="285" spans="1:11" ht="25.5" hidden="1" x14ac:dyDescent="0.2">
      <c r="A285" s="4" t="s">
        <v>881</v>
      </c>
      <c r="B285" s="4" t="s">
        <v>135</v>
      </c>
      <c r="C285" s="4"/>
      <c r="D285" s="4" t="s">
        <v>110</v>
      </c>
      <c r="E285" s="2" t="s">
        <v>882</v>
      </c>
      <c r="F285" s="2" t="s">
        <v>883</v>
      </c>
      <c r="G285" s="2" t="s">
        <v>260</v>
      </c>
      <c r="H285" s="2" t="s">
        <v>880</v>
      </c>
      <c r="K285" s="5" t="str">
        <f>CONCATENATE(Table1[[#This Row],[Lead UKGI Contact Forename]],".",Table1[[#This Row],[Lead UKGI Contact Surname]],"@ukgi.org.uk")</f>
        <v>.@ukgi.org.uk</v>
      </c>
    </row>
    <row r="286" spans="1:11" ht="25.5" hidden="1" x14ac:dyDescent="0.2">
      <c r="A286" s="4" t="s">
        <v>604</v>
      </c>
      <c r="B286" s="4" t="s">
        <v>884</v>
      </c>
      <c r="C286" s="4"/>
      <c r="D286" s="4" t="s">
        <v>37</v>
      </c>
      <c r="E286" s="2" t="s">
        <v>885</v>
      </c>
      <c r="F286" s="2" t="s">
        <v>883</v>
      </c>
      <c r="G286" s="2" t="s">
        <v>260</v>
      </c>
      <c r="H286" s="2" t="s">
        <v>880</v>
      </c>
      <c r="K286" s="5" t="str">
        <f>CONCATENATE(Table1[[#This Row],[Lead UKGI Contact Forename]],".",Table1[[#This Row],[Lead UKGI Contact Surname]],"@ukgi.org.uk")</f>
        <v>.@ukgi.org.uk</v>
      </c>
    </row>
    <row r="287" spans="1:11" ht="25.5" hidden="1" x14ac:dyDescent="0.2">
      <c r="A287" s="4" t="s">
        <v>699</v>
      </c>
      <c r="B287" s="4" t="s">
        <v>766</v>
      </c>
      <c r="C287" s="4"/>
      <c r="D287" s="4" t="s">
        <v>37</v>
      </c>
      <c r="E287" s="2" t="s">
        <v>886</v>
      </c>
      <c r="F287" s="2" t="s">
        <v>883</v>
      </c>
      <c r="G287" s="2" t="s">
        <v>260</v>
      </c>
      <c r="H287" s="2" t="s">
        <v>880</v>
      </c>
      <c r="K287" s="5" t="str">
        <f>CONCATENATE(Table1[[#This Row],[Lead UKGI Contact Forename]],".",Table1[[#This Row],[Lead UKGI Contact Surname]],"@ukgi.org.uk")</f>
        <v>.@ukgi.org.uk</v>
      </c>
    </row>
    <row r="288" spans="1:11" ht="25.5" hidden="1" x14ac:dyDescent="0.2">
      <c r="A288" s="4" t="s">
        <v>887</v>
      </c>
      <c r="B288" s="4" t="s">
        <v>875</v>
      </c>
      <c r="C288" s="4"/>
      <c r="D288" s="4" t="s">
        <v>110</v>
      </c>
      <c r="E288" s="2" t="s">
        <v>882</v>
      </c>
      <c r="F288" s="2" t="s">
        <v>883</v>
      </c>
      <c r="G288" s="2" t="s">
        <v>260</v>
      </c>
      <c r="H288" s="2" t="s">
        <v>880</v>
      </c>
      <c r="K288" s="5" t="str">
        <f>CONCATENATE(Table1[[#This Row],[Lead UKGI Contact Forename]],".",Table1[[#This Row],[Lead UKGI Contact Surname]],"@ukgi.org.uk")</f>
        <v>.@ukgi.org.uk</v>
      </c>
    </row>
    <row r="289" spans="1:11" ht="25.5" hidden="1" x14ac:dyDescent="0.2">
      <c r="A289" s="4" t="s">
        <v>452</v>
      </c>
      <c r="B289" s="4" t="s">
        <v>152</v>
      </c>
      <c r="C289" s="4"/>
      <c r="D289" s="4" t="s">
        <v>37</v>
      </c>
      <c r="E289" s="2" t="s">
        <v>888</v>
      </c>
      <c r="F289" s="2" t="s">
        <v>883</v>
      </c>
      <c r="G289" s="2" t="s">
        <v>260</v>
      </c>
      <c r="H289" s="2" t="s">
        <v>880</v>
      </c>
      <c r="K289" s="5" t="str">
        <f>CONCATENATE(Table1[[#This Row],[Lead UKGI Contact Forename]],".",Table1[[#This Row],[Lead UKGI Contact Surname]],"@ukgi.org.uk")</f>
        <v>.@ukgi.org.uk</v>
      </c>
    </row>
    <row r="290" spans="1:11" ht="25.5" hidden="1" x14ac:dyDescent="0.2">
      <c r="A290" s="4" t="s">
        <v>530</v>
      </c>
      <c r="B290" s="4" t="s">
        <v>265</v>
      </c>
      <c r="C290" s="4"/>
      <c r="D290" s="4" t="s">
        <v>37</v>
      </c>
      <c r="E290" s="2" t="s">
        <v>889</v>
      </c>
      <c r="F290" s="2" t="s">
        <v>883</v>
      </c>
      <c r="G290" s="2" t="s">
        <v>260</v>
      </c>
      <c r="H290" s="2" t="s">
        <v>880</v>
      </c>
      <c r="K290" s="5" t="str">
        <f>CONCATENATE(Table1[[#This Row],[Lead UKGI Contact Forename]],".",Table1[[#This Row],[Lead UKGI Contact Surname]],"@ukgi.org.uk")</f>
        <v>.@ukgi.org.uk</v>
      </c>
    </row>
    <row r="291" spans="1:11" ht="25.5" hidden="1" x14ac:dyDescent="0.2">
      <c r="A291" s="4" t="s">
        <v>890</v>
      </c>
      <c r="B291" s="4" t="s">
        <v>325</v>
      </c>
      <c r="C291" s="4"/>
      <c r="D291" s="4" t="s">
        <v>37</v>
      </c>
      <c r="E291" s="2" t="s">
        <v>885</v>
      </c>
      <c r="F291" s="2" t="s">
        <v>883</v>
      </c>
      <c r="G291" s="2" t="s">
        <v>260</v>
      </c>
      <c r="H291" s="2" t="s">
        <v>880</v>
      </c>
      <c r="K291" s="5" t="str">
        <f>CONCATENATE(Table1[[#This Row],[Lead UKGI Contact Forename]],".",Table1[[#This Row],[Lead UKGI Contact Surname]],"@ukgi.org.uk")</f>
        <v>.@ukgi.org.uk</v>
      </c>
    </row>
    <row r="292" spans="1:11" hidden="1" x14ac:dyDescent="0.2">
      <c r="A292" s="4" t="s">
        <v>891</v>
      </c>
      <c r="B292" s="4" t="s">
        <v>892</v>
      </c>
      <c r="C292" s="4"/>
      <c r="D292" s="4" t="s">
        <v>143</v>
      </c>
      <c r="E292" s="2" t="s">
        <v>893</v>
      </c>
      <c r="F292" s="2" t="s">
        <v>143</v>
      </c>
      <c r="G292" s="2" t="s">
        <v>260</v>
      </c>
      <c r="H292" s="2" t="s">
        <v>894</v>
      </c>
      <c r="K292" s="5" t="str">
        <f>CONCATENATE(Table1[[#This Row],[Lead UKGI Contact Forename]],".",Table1[[#This Row],[Lead UKGI Contact Surname]],"@ukgi.org.uk")</f>
        <v>.@ukgi.org.uk</v>
      </c>
    </row>
    <row r="293" spans="1:11" hidden="1" x14ac:dyDescent="0.2">
      <c r="A293" s="4" t="s">
        <v>895</v>
      </c>
      <c r="B293" s="4" t="s">
        <v>896</v>
      </c>
      <c r="C293" s="4"/>
      <c r="D293" s="4" t="s">
        <v>110</v>
      </c>
      <c r="E293" s="2" t="s">
        <v>897</v>
      </c>
      <c r="F293" s="2" t="s">
        <v>898</v>
      </c>
      <c r="G293" s="2" t="s">
        <v>260</v>
      </c>
      <c r="H293" s="2" t="s">
        <v>894</v>
      </c>
      <c r="K293" s="5" t="str">
        <f>CONCATENATE(Table1[[#This Row],[Lead UKGI Contact Forename]],".",Table1[[#This Row],[Lead UKGI Contact Surname]],"@ukgi.org.uk")</f>
        <v>.@ukgi.org.uk</v>
      </c>
    </row>
    <row r="294" spans="1:11" ht="25.5" hidden="1" x14ac:dyDescent="0.2">
      <c r="A294" s="4" t="s">
        <v>899</v>
      </c>
      <c r="B294" s="4" t="s">
        <v>900</v>
      </c>
      <c r="C294" s="4"/>
      <c r="D294" s="4" t="s">
        <v>37</v>
      </c>
      <c r="E294" s="2" t="s">
        <v>231</v>
      </c>
      <c r="F294" s="2" t="s">
        <v>901</v>
      </c>
      <c r="G294" s="2" t="s">
        <v>260</v>
      </c>
      <c r="H294" s="2" t="s">
        <v>894</v>
      </c>
      <c r="K294" s="5" t="str">
        <f>CONCATENATE(Table1[[#This Row],[Lead UKGI Contact Forename]],".",Table1[[#This Row],[Lead UKGI Contact Surname]],"@ukgi.org.uk")</f>
        <v>.@ukgi.org.uk</v>
      </c>
    </row>
    <row r="295" spans="1:11" hidden="1" x14ac:dyDescent="0.2">
      <c r="A295" s="4" t="s">
        <v>902</v>
      </c>
      <c r="B295" s="4" t="s">
        <v>902</v>
      </c>
      <c r="C295" s="4"/>
      <c r="D295" s="4" t="s">
        <v>37</v>
      </c>
      <c r="E295" s="2" t="s">
        <v>903</v>
      </c>
      <c r="F295" s="2" t="s">
        <v>904</v>
      </c>
      <c r="G295" s="2" t="s">
        <v>260</v>
      </c>
      <c r="H295" s="2" t="s">
        <v>894</v>
      </c>
      <c r="K295" s="5" t="str">
        <f>CONCATENATE(Table1[[#This Row],[Lead UKGI Contact Forename]],".",Table1[[#This Row],[Lead UKGI Contact Surname]],"@ukgi.org.uk")</f>
        <v>.@ukgi.org.uk</v>
      </c>
    </row>
    <row r="296" spans="1:11" hidden="1" x14ac:dyDescent="0.2">
      <c r="A296" s="4" t="s">
        <v>902</v>
      </c>
      <c r="B296" s="4" t="s">
        <v>902</v>
      </c>
      <c r="C296" s="4"/>
      <c r="D296" s="4" t="s">
        <v>37</v>
      </c>
      <c r="E296" s="2" t="s">
        <v>903</v>
      </c>
      <c r="F296" s="2" t="s">
        <v>904</v>
      </c>
      <c r="G296" s="2" t="s">
        <v>260</v>
      </c>
      <c r="H296" s="2" t="s">
        <v>894</v>
      </c>
      <c r="K296" s="5" t="str">
        <f>CONCATENATE(Table1[[#This Row],[Lead UKGI Contact Forename]],".",Table1[[#This Row],[Lead UKGI Contact Surname]],"@ukgi.org.uk")</f>
        <v>.@ukgi.org.uk</v>
      </c>
    </row>
    <row r="297" spans="1:11" hidden="1" x14ac:dyDescent="0.2">
      <c r="A297" s="4" t="s">
        <v>902</v>
      </c>
      <c r="B297" s="4" t="s">
        <v>902</v>
      </c>
      <c r="C297" s="4"/>
      <c r="D297" s="4" t="s">
        <v>37</v>
      </c>
      <c r="E297" s="2" t="s">
        <v>903</v>
      </c>
      <c r="F297" s="2" t="s">
        <v>904</v>
      </c>
      <c r="G297" s="2" t="s">
        <v>260</v>
      </c>
      <c r="H297" s="2" t="s">
        <v>894</v>
      </c>
      <c r="K297" s="5" t="str">
        <f>CONCATENATE(Table1[[#This Row],[Lead UKGI Contact Forename]],".",Table1[[#This Row],[Lead UKGI Contact Surname]],"@ukgi.org.uk")</f>
        <v>.@ukgi.org.uk</v>
      </c>
    </row>
    <row r="298" spans="1:11" hidden="1" x14ac:dyDescent="0.2">
      <c r="A298" s="4" t="s">
        <v>902</v>
      </c>
      <c r="B298" s="4" t="s">
        <v>902</v>
      </c>
      <c r="C298" s="4"/>
      <c r="D298" s="4" t="s">
        <v>37</v>
      </c>
      <c r="E298" s="2" t="s">
        <v>903</v>
      </c>
      <c r="F298" s="2" t="s">
        <v>904</v>
      </c>
      <c r="G298" s="2" t="s">
        <v>260</v>
      </c>
      <c r="H298" s="2" t="s">
        <v>894</v>
      </c>
      <c r="K298" s="5" t="str">
        <f>CONCATENATE(Table1[[#This Row],[Lead UKGI Contact Forename]],".",Table1[[#This Row],[Lead UKGI Contact Surname]],"@ukgi.org.uk")</f>
        <v>.@ukgi.org.uk</v>
      </c>
    </row>
    <row r="299" spans="1:11" hidden="1" x14ac:dyDescent="0.2">
      <c r="A299" s="4" t="s">
        <v>902</v>
      </c>
      <c r="B299" s="4" t="s">
        <v>902</v>
      </c>
      <c r="C299" s="4"/>
      <c r="D299" s="4" t="s">
        <v>37</v>
      </c>
      <c r="E299" s="2" t="s">
        <v>903</v>
      </c>
      <c r="F299" s="2" t="s">
        <v>904</v>
      </c>
      <c r="G299" s="2" t="s">
        <v>260</v>
      </c>
      <c r="H299" s="2" t="s">
        <v>894</v>
      </c>
      <c r="K299" s="5" t="str">
        <f>CONCATENATE(Table1[[#This Row],[Lead UKGI Contact Forename]],".",Table1[[#This Row],[Lead UKGI Contact Surname]],"@ukgi.org.uk")</f>
        <v>.@ukgi.org.uk</v>
      </c>
    </row>
    <row r="300" spans="1:11" hidden="1" x14ac:dyDescent="0.2">
      <c r="A300" s="4" t="s">
        <v>902</v>
      </c>
      <c r="B300" s="4" t="s">
        <v>902</v>
      </c>
      <c r="C300" s="4"/>
      <c r="D300" s="4" t="s">
        <v>37</v>
      </c>
      <c r="E300" s="2" t="s">
        <v>903</v>
      </c>
      <c r="F300" s="2" t="s">
        <v>904</v>
      </c>
      <c r="G300" s="2" t="s">
        <v>260</v>
      </c>
      <c r="H300" s="2" t="s">
        <v>894</v>
      </c>
      <c r="K300" s="5" t="str">
        <f>CONCATENATE(Table1[[#This Row],[Lead UKGI Contact Forename]],".",Table1[[#This Row],[Lead UKGI Contact Surname]],"@ukgi.org.uk")</f>
        <v>.@ukgi.org.uk</v>
      </c>
    </row>
    <row r="301" spans="1:11" hidden="1" x14ac:dyDescent="0.2">
      <c r="A301" s="4" t="s">
        <v>902</v>
      </c>
      <c r="B301" s="4" t="s">
        <v>902</v>
      </c>
      <c r="C301" s="4"/>
      <c r="D301" s="4" t="s">
        <v>37</v>
      </c>
      <c r="E301" s="2" t="s">
        <v>903</v>
      </c>
      <c r="F301" s="2" t="s">
        <v>904</v>
      </c>
      <c r="G301" s="2" t="s">
        <v>260</v>
      </c>
      <c r="H301" s="2" t="s">
        <v>894</v>
      </c>
      <c r="K301" s="5" t="str">
        <f>CONCATENATE(Table1[[#This Row],[Lead UKGI Contact Forename]],".",Table1[[#This Row],[Lead UKGI Contact Surname]],"@ukgi.org.uk")</f>
        <v>.@ukgi.org.uk</v>
      </c>
    </row>
    <row r="302" spans="1:11" hidden="1" x14ac:dyDescent="0.2">
      <c r="A302" s="4" t="s">
        <v>902</v>
      </c>
      <c r="B302" s="4" t="s">
        <v>902</v>
      </c>
      <c r="C302" s="4"/>
      <c r="D302" s="4" t="s">
        <v>37</v>
      </c>
      <c r="E302" s="2" t="s">
        <v>903</v>
      </c>
      <c r="F302" s="2" t="s">
        <v>904</v>
      </c>
      <c r="G302" s="2" t="s">
        <v>260</v>
      </c>
      <c r="H302" s="2" t="s">
        <v>894</v>
      </c>
      <c r="K302" s="5" t="str">
        <f>CONCATENATE(Table1[[#This Row],[Lead UKGI Contact Forename]],".",Table1[[#This Row],[Lead UKGI Contact Surname]],"@ukgi.org.uk")</f>
        <v>.@ukgi.org.uk</v>
      </c>
    </row>
    <row r="303" spans="1:11" hidden="1" x14ac:dyDescent="0.2">
      <c r="A303" s="4" t="s">
        <v>902</v>
      </c>
      <c r="B303" s="4" t="s">
        <v>902</v>
      </c>
      <c r="C303" s="4"/>
      <c r="D303" s="4" t="s">
        <v>37</v>
      </c>
      <c r="E303" s="2" t="s">
        <v>903</v>
      </c>
      <c r="F303" s="2" t="s">
        <v>904</v>
      </c>
      <c r="G303" s="2" t="s">
        <v>260</v>
      </c>
      <c r="H303" s="2" t="s">
        <v>894</v>
      </c>
      <c r="K303" s="5" t="str">
        <f>CONCATENATE(Table1[[#This Row],[Lead UKGI Contact Forename]],".",Table1[[#This Row],[Lead UKGI Contact Surname]],"@ukgi.org.uk")</f>
        <v>.@ukgi.org.uk</v>
      </c>
    </row>
    <row r="304" spans="1:11" hidden="1" x14ac:dyDescent="0.2">
      <c r="A304" s="4" t="s">
        <v>902</v>
      </c>
      <c r="B304" s="4" t="s">
        <v>902</v>
      </c>
      <c r="C304" s="4"/>
      <c r="D304" s="4" t="s">
        <v>45</v>
      </c>
      <c r="E304" s="2" t="s">
        <v>905</v>
      </c>
      <c r="F304" s="2" t="s">
        <v>906</v>
      </c>
      <c r="G304" s="2" t="s">
        <v>260</v>
      </c>
      <c r="H304" s="2" t="s">
        <v>894</v>
      </c>
      <c r="K304" s="5" t="str">
        <f>CONCATENATE(Table1[[#This Row],[Lead UKGI Contact Forename]],".",Table1[[#This Row],[Lead UKGI Contact Surname]],"@ukgi.org.uk")</f>
        <v>.@ukgi.org.uk</v>
      </c>
    </row>
    <row r="305" spans="1:11" hidden="1" x14ac:dyDescent="0.2">
      <c r="A305" s="4" t="s">
        <v>902</v>
      </c>
      <c r="B305" s="4" t="s">
        <v>902</v>
      </c>
      <c r="C305" s="4"/>
      <c r="D305" s="4" t="s">
        <v>45</v>
      </c>
      <c r="E305" s="2" t="s">
        <v>905</v>
      </c>
      <c r="F305" s="2" t="s">
        <v>906</v>
      </c>
      <c r="G305" s="2" t="s">
        <v>260</v>
      </c>
      <c r="H305" s="2" t="s">
        <v>894</v>
      </c>
      <c r="K305" s="5" t="str">
        <f>CONCATENATE(Table1[[#This Row],[Lead UKGI Contact Forename]],".",Table1[[#This Row],[Lead UKGI Contact Surname]],"@ukgi.org.uk")</f>
        <v>.@ukgi.org.uk</v>
      </c>
    </row>
    <row r="306" spans="1:11" ht="25.5" hidden="1" x14ac:dyDescent="0.2">
      <c r="A306" s="4" t="s">
        <v>902</v>
      </c>
      <c r="B306" s="4" t="s">
        <v>902</v>
      </c>
      <c r="C306" s="4"/>
      <c r="D306" s="4" t="s">
        <v>45</v>
      </c>
      <c r="E306" s="2" t="s">
        <v>907</v>
      </c>
      <c r="F306" s="2" t="s">
        <v>908</v>
      </c>
      <c r="G306" s="2" t="s">
        <v>260</v>
      </c>
      <c r="H306" s="2" t="s">
        <v>894</v>
      </c>
      <c r="K306" s="5" t="str">
        <f>CONCATENATE(Table1[[#This Row],[Lead UKGI Contact Forename]],".",Table1[[#This Row],[Lead UKGI Contact Surname]],"@ukgi.org.uk")</f>
        <v>.@ukgi.org.uk</v>
      </c>
    </row>
    <row r="307" spans="1:11" ht="25.5" hidden="1" x14ac:dyDescent="0.2">
      <c r="A307" s="4" t="s">
        <v>902</v>
      </c>
      <c r="B307" s="4" t="s">
        <v>902</v>
      </c>
      <c r="C307" s="4"/>
      <c r="D307" s="4" t="s">
        <v>45</v>
      </c>
      <c r="E307" s="2" t="s">
        <v>907</v>
      </c>
      <c r="F307" s="2" t="s">
        <v>908</v>
      </c>
      <c r="G307" s="2" t="s">
        <v>260</v>
      </c>
      <c r="H307" s="2" t="s">
        <v>894</v>
      </c>
      <c r="K307" s="5" t="str">
        <f>CONCATENATE(Table1[[#This Row],[Lead UKGI Contact Forename]],".",Table1[[#This Row],[Lead UKGI Contact Surname]],"@ukgi.org.uk")</f>
        <v>.@ukgi.org.uk</v>
      </c>
    </row>
    <row r="308" spans="1:11" ht="25.5" hidden="1" x14ac:dyDescent="0.2">
      <c r="A308" s="4" t="s">
        <v>902</v>
      </c>
      <c r="B308" s="4" t="s">
        <v>902</v>
      </c>
      <c r="C308" s="4"/>
      <c r="D308" s="4" t="s">
        <v>45</v>
      </c>
      <c r="E308" s="2" t="s">
        <v>907</v>
      </c>
      <c r="F308" s="2" t="s">
        <v>908</v>
      </c>
      <c r="G308" s="2" t="s">
        <v>260</v>
      </c>
      <c r="H308" s="2" t="s">
        <v>894</v>
      </c>
      <c r="K308" s="5" t="str">
        <f>CONCATENATE(Table1[[#This Row],[Lead UKGI Contact Forename]],".",Table1[[#This Row],[Lead UKGI Contact Surname]],"@ukgi.org.uk")</f>
        <v>.@ukgi.org.uk</v>
      </c>
    </row>
    <row r="309" spans="1:11" ht="25.5" hidden="1" x14ac:dyDescent="0.2">
      <c r="A309" s="4" t="s">
        <v>902</v>
      </c>
      <c r="B309" s="4" t="s">
        <v>902</v>
      </c>
      <c r="C309" s="4"/>
      <c r="D309" s="4" t="s">
        <v>45</v>
      </c>
      <c r="E309" s="2" t="s">
        <v>907</v>
      </c>
      <c r="F309" s="2" t="s">
        <v>908</v>
      </c>
      <c r="G309" s="2" t="s">
        <v>260</v>
      </c>
      <c r="H309" s="2" t="s">
        <v>894</v>
      </c>
      <c r="K309" s="5" t="str">
        <f>CONCATENATE(Table1[[#This Row],[Lead UKGI Contact Forename]],".",Table1[[#This Row],[Lead UKGI Contact Surname]],"@ukgi.org.uk")</f>
        <v>.@ukgi.org.uk</v>
      </c>
    </row>
    <row r="310" spans="1:11" ht="25.5" hidden="1" x14ac:dyDescent="0.2">
      <c r="A310" s="4" t="s">
        <v>902</v>
      </c>
      <c r="B310" s="4" t="s">
        <v>902</v>
      </c>
      <c r="C310" s="4"/>
      <c r="D310" s="4" t="s">
        <v>45</v>
      </c>
      <c r="E310" s="2" t="s">
        <v>907</v>
      </c>
      <c r="F310" s="2" t="s">
        <v>908</v>
      </c>
      <c r="G310" s="2" t="s">
        <v>260</v>
      </c>
      <c r="H310" s="2" t="s">
        <v>894</v>
      </c>
      <c r="K310" s="5" t="str">
        <f>CONCATENATE(Table1[[#This Row],[Lead UKGI Contact Forename]],".",Table1[[#This Row],[Lead UKGI Contact Surname]],"@ukgi.org.uk")</f>
        <v>.@ukgi.org.uk</v>
      </c>
    </row>
    <row r="311" spans="1:11" x14ac:dyDescent="0.2">
      <c r="A311" s="4" t="s">
        <v>909</v>
      </c>
      <c r="B311" s="4" t="s">
        <v>754</v>
      </c>
      <c r="C311" s="4"/>
      <c r="D311" s="4" t="s">
        <v>148</v>
      </c>
      <c r="E311" s="2" t="s">
        <v>208</v>
      </c>
      <c r="F311" s="2" t="s">
        <v>208</v>
      </c>
      <c r="G311" s="2" t="s">
        <v>910</v>
      </c>
      <c r="H311" s="2" t="s">
        <v>910</v>
      </c>
      <c r="K311" s="5" t="str">
        <f>CONCATENATE(Table1[[#This Row],[Lead UKGI Contact Forename]],".",Table1[[#This Row],[Lead UKGI Contact Surname]],"@ukgi.org.uk")</f>
        <v>.@ukgi.org.uk</v>
      </c>
    </row>
    <row r="312" spans="1:11" ht="51" hidden="1" x14ac:dyDescent="0.2">
      <c r="A312" s="4" t="s">
        <v>911</v>
      </c>
      <c r="B312" s="4" t="s">
        <v>754</v>
      </c>
      <c r="C312" s="4"/>
      <c r="D312" s="4" t="s">
        <v>110</v>
      </c>
      <c r="E312" s="2" t="s">
        <v>234</v>
      </c>
      <c r="F312" s="2" t="s">
        <v>912</v>
      </c>
      <c r="G312" s="2" t="s">
        <v>910</v>
      </c>
      <c r="H312" s="2" t="s">
        <v>913</v>
      </c>
      <c r="K312" s="5" t="str">
        <f>CONCATENATE(Table1[[#This Row],[Lead UKGI Contact Forename]],".",Table1[[#This Row],[Lead UKGI Contact Surname]],"@ukgi.org.uk")</f>
        <v>.@ukgi.org.uk</v>
      </c>
    </row>
    <row r="313" spans="1:11" ht="51" hidden="1" x14ac:dyDescent="0.2">
      <c r="A313" s="4" t="s">
        <v>914</v>
      </c>
      <c r="B313" s="4" t="s">
        <v>135</v>
      </c>
      <c r="C313" s="4"/>
      <c r="D313" s="4" t="s">
        <v>110</v>
      </c>
      <c r="E313" s="2" t="s">
        <v>149</v>
      </c>
      <c r="F313" s="2" t="s">
        <v>915</v>
      </c>
      <c r="G313" s="2" t="s">
        <v>910</v>
      </c>
      <c r="H313" s="2" t="s">
        <v>916</v>
      </c>
      <c r="K313" s="5" t="str">
        <f>CONCATENATE(Table1[[#This Row],[Lead UKGI Contact Forename]],".",Table1[[#This Row],[Lead UKGI Contact Surname]],"@ukgi.org.uk")</f>
        <v>.@ukgi.org.uk</v>
      </c>
    </row>
    <row r="314" spans="1:11" ht="76.5" hidden="1" x14ac:dyDescent="0.2">
      <c r="A314" s="4" t="s">
        <v>917</v>
      </c>
      <c r="B314" s="4" t="s">
        <v>918</v>
      </c>
      <c r="C314" s="4"/>
      <c r="D314" s="4" t="s">
        <v>110</v>
      </c>
      <c r="E314" s="2" t="s">
        <v>234</v>
      </c>
      <c r="F314" s="2" t="s">
        <v>919</v>
      </c>
      <c r="G314" s="2" t="s">
        <v>910</v>
      </c>
      <c r="H314" s="2" t="s">
        <v>920</v>
      </c>
      <c r="K314" s="5" t="str">
        <f>CONCATENATE(Table1[[#This Row],[Lead UKGI Contact Forename]],".",Table1[[#This Row],[Lead UKGI Contact Surname]],"@ukgi.org.uk")</f>
        <v>.@ukgi.org.uk</v>
      </c>
    </row>
    <row r="315" spans="1:11" x14ac:dyDescent="0.2">
      <c r="A315" s="4" t="s">
        <v>921</v>
      </c>
      <c r="B315" s="4" t="s">
        <v>807</v>
      </c>
      <c r="C315" s="4"/>
      <c r="D315" s="4" t="s">
        <v>148</v>
      </c>
      <c r="E315" s="2" t="s">
        <v>150</v>
      </c>
      <c r="F315" s="2" t="s">
        <v>150</v>
      </c>
      <c r="G315" s="2" t="s">
        <v>910</v>
      </c>
      <c r="H315" s="2" t="s">
        <v>922</v>
      </c>
      <c r="K315" s="5" t="str">
        <f>CONCATENATE(Table1[[#This Row],[Lead UKGI Contact Forename]],".",Table1[[#This Row],[Lead UKGI Contact Surname]],"@ukgi.org.uk")</f>
        <v>.@ukgi.org.uk</v>
      </c>
    </row>
    <row r="316" spans="1:11" x14ac:dyDescent="0.2">
      <c r="A316" s="4" t="s">
        <v>923</v>
      </c>
      <c r="B316" s="4" t="s">
        <v>924</v>
      </c>
      <c r="C316" s="4"/>
      <c r="D316" s="4" t="s">
        <v>148</v>
      </c>
      <c r="E316" s="2" t="s">
        <v>150</v>
      </c>
      <c r="F316" s="2" t="s">
        <v>150</v>
      </c>
      <c r="G316" s="2" t="s">
        <v>910</v>
      </c>
      <c r="H316" s="2" t="s">
        <v>925</v>
      </c>
      <c r="K316" s="5" t="str">
        <f>CONCATENATE(Table1[[#This Row],[Lead UKGI Contact Forename]],".",Table1[[#This Row],[Lead UKGI Contact Surname]],"@ukgi.org.uk")</f>
        <v>.@ukgi.org.uk</v>
      </c>
    </row>
    <row r="317" spans="1:11" ht="51" x14ac:dyDescent="0.2">
      <c r="A317" s="4" t="s">
        <v>926</v>
      </c>
      <c r="B317" s="4" t="s">
        <v>204</v>
      </c>
      <c r="C317" s="4"/>
      <c r="D317" s="4" t="s">
        <v>148</v>
      </c>
      <c r="E317" s="2" t="s">
        <v>927</v>
      </c>
      <c r="F317" s="2" t="s">
        <v>928</v>
      </c>
      <c r="G317" s="2" t="s">
        <v>929</v>
      </c>
      <c r="H317" s="2" t="s">
        <v>929</v>
      </c>
      <c r="K317" s="5" t="str">
        <f>CONCATENATE(Table1[[#This Row],[Lead UKGI Contact Forename]],".",Table1[[#This Row],[Lead UKGI Contact Surname]],"@ukgi.org.uk")</f>
        <v>.@ukgi.org.uk</v>
      </c>
    </row>
    <row r="318" spans="1:11" ht="51" hidden="1" x14ac:dyDescent="0.2">
      <c r="A318" s="4" t="s">
        <v>930</v>
      </c>
      <c r="B318" s="4" t="s">
        <v>931</v>
      </c>
      <c r="C318" s="4"/>
      <c r="D318" s="4" t="s">
        <v>110</v>
      </c>
      <c r="E318" s="2" t="s">
        <v>932</v>
      </c>
      <c r="F318" s="2" t="s">
        <v>933</v>
      </c>
      <c r="G318" s="2" t="s">
        <v>934</v>
      </c>
      <c r="H318" s="2" t="s">
        <v>934</v>
      </c>
      <c r="K318" s="5" t="str">
        <f>CONCATENATE(Table1[[#This Row],[Lead UKGI Contact Forename]],".",Table1[[#This Row],[Lead UKGI Contact Surname]],"@ukgi.org.uk")</f>
        <v>.@ukgi.org.uk</v>
      </c>
    </row>
    <row r="319" spans="1:11" ht="38.25" x14ac:dyDescent="0.2">
      <c r="A319" s="4" t="s">
        <v>935</v>
      </c>
      <c r="B319" s="4" t="s">
        <v>936</v>
      </c>
      <c r="C319" s="4"/>
      <c r="D319" s="4" t="s">
        <v>148</v>
      </c>
      <c r="E319" s="2" t="s">
        <v>208</v>
      </c>
      <c r="F319" s="2" t="s">
        <v>937</v>
      </c>
      <c r="G319" s="2" t="s">
        <v>938</v>
      </c>
      <c r="H319" s="2" t="s">
        <v>938</v>
      </c>
      <c r="K319" s="5" t="str">
        <f>CONCATENATE(Table1[[#This Row],[Lead UKGI Contact Forename]],".",Table1[[#This Row],[Lead UKGI Contact Surname]],"@ukgi.org.uk")</f>
        <v>.@ukgi.org.uk</v>
      </c>
    </row>
    <row r="320" spans="1:11" ht="76.5" x14ac:dyDescent="0.2">
      <c r="A320" s="4" t="s">
        <v>939</v>
      </c>
      <c r="B320" s="4" t="s">
        <v>139</v>
      </c>
      <c r="C320" s="4"/>
      <c r="D320" s="4" t="s">
        <v>148</v>
      </c>
      <c r="E320" s="2" t="s">
        <v>149</v>
      </c>
      <c r="F320" s="2" t="s">
        <v>940</v>
      </c>
      <c r="G320" s="2" t="s">
        <v>938</v>
      </c>
      <c r="H320" s="2" t="s">
        <v>941</v>
      </c>
      <c r="K320" s="5" t="str">
        <f>CONCATENATE(Table1[[#This Row],[Lead UKGI Contact Forename]],".",Table1[[#This Row],[Lead UKGI Contact Surname]],"@ukgi.org.uk")</f>
        <v>.@ukgi.org.uk</v>
      </c>
    </row>
    <row r="321" spans="1:11" ht="38.25" hidden="1" x14ac:dyDescent="0.2">
      <c r="A321" s="4" t="s">
        <v>942</v>
      </c>
      <c r="B321" s="4" t="s">
        <v>155</v>
      </c>
      <c r="C321" s="4"/>
      <c r="D321" s="4" t="s">
        <v>110</v>
      </c>
      <c r="E321" s="2" t="s">
        <v>943</v>
      </c>
      <c r="F321" s="2" t="s">
        <v>234</v>
      </c>
      <c r="G321" s="2" t="s">
        <v>938</v>
      </c>
      <c r="H321" s="2" t="s">
        <v>944</v>
      </c>
      <c r="K321" s="5" t="str">
        <f>CONCATENATE(Table1[[#This Row],[Lead UKGI Contact Forename]],".",Table1[[#This Row],[Lead UKGI Contact Surname]],"@ukgi.org.uk")</f>
        <v>.@ukgi.org.uk</v>
      </c>
    </row>
    <row r="322" spans="1:11" ht="25.5" hidden="1" x14ac:dyDescent="0.2">
      <c r="A322" s="4" t="s">
        <v>867</v>
      </c>
      <c r="B322" s="4" t="s">
        <v>945</v>
      </c>
      <c r="C322" s="4"/>
      <c r="D322" s="4" t="s">
        <v>143</v>
      </c>
      <c r="E322" s="2" t="s">
        <v>143</v>
      </c>
      <c r="F322" s="2" t="s">
        <v>143</v>
      </c>
      <c r="G322" s="2" t="s">
        <v>946</v>
      </c>
      <c r="H322" s="2" t="s">
        <v>946</v>
      </c>
      <c r="K322" s="5" t="str">
        <f>CONCATENATE(Table1[[#This Row],[Lead UKGI Contact Forename]],".",Table1[[#This Row],[Lead UKGI Contact Surname]],"@ukgi.org.uk")</f>
        <v>.@ukgi.org.uk</v>
      </c>
    </row>
    <row r="323" spans="1:11" ht="25.5" hidden="1" x14ac:dyDescent="0.2">
      <c r="A323" s="4" t="s">
        <v>947</v>
      </c>
      <c r="B323" s="4" t="s">
        <v>265</v>
      </c>
      <c r="C323" s="4"/>
      <c r="D323" s="4" t="s">
        <v>110</v>
      </c>
      <c r="E323" s="2" t="s">
        <v>234</v>
      </c>
      <c r="F323" s="2" t="s">
        <v>234</v>
      </c>
      <c r="G323" s="2" t="s">
        <v>946</v>
      </c>
      <c r="H323" s="2" t="s">
        <v>946</v>
      </c>
      <c r="K323" s="5" t="str">
        <f>CONCATENATE(Table1[[#This Row],[Lead UKGI Contact Forename]],".",Table1[[#This Row],[Lead UKGI Contact Surname]],"@ukgi.org.uk")</f>
        <v>.@ukgi.org.uk</v>
      </c>
    </row>
    <row r="324" spans="1:11" ht="38.25" x14ac:dyDescent="0.2">
      <c r="A324" s="4" t="s">
        <v>807</v>
      </c>
      <c r="B324" s="4" t="s">
        <v>948</v>
      </c>
      <c r="C324" s="4"/>
      <c r="D324" s="4" t="s">
        <v>148</v>
      </c>
      <c r="E324" s="2" t="s">
        <v>149</v>
      </c>
      <c r="F324" s="2" t="s">
        <v>149</v>
      </c>
      <c r="G324" s="2" t="s">
        <v>938</v>
      </c>
      <c r="H324" s="2" t="s">
        <v>949</v>
      </c>
      <c r="K324" s="5" t="str">
        <f>CONCATENATE(Table1[[#This Row],[Lead UKGI Contact Forename]],".",Table1[[#This Row],[Lead UKGI Contact Surname]],"@ukgi.org.uk")</f>
        <v>.@ukgi.org.uk</v>
      </c>
    </row>
    <row r="325" spans="1:11" ht="25.5" hidden="1" x14ac:dyDescent="0.2">
      <c r="A325" s="4" t="s">
        <v>950</v>
      </c>
      <c r="B325" s="4" t="s">
        <v>226</v>
      </c>
      <c r="C325" s="4"/>
      <c r="D325" s="4" t="s">
        <v>110</v>
      </c>
      <c r="E325" s="2" t="s">
        <v>951</v>
      </c>
      <c r="F325" s="2" t="s">
        <v>952</v>
      </c>
      <c r="G325" s="2" t="s">
        <v>953</v>
      </c>
      <c r="H325" s="2" t="s">
        <v>953</v>
      </c>
      <c r="K325" s="5" t="str">
        <f>CONCATENATE(Table1[[#This Row],[Lead UKGI Contact Forename]],".",Table1[[#This Row],[Lead UKGI Contact Surname]],"@ukgi.org.uk")</f>
        <v>.@ukgi.org.uk</v>
      </c>
    </row>
    <row r="326" spans="1:11" x14ac:dyDescent="0.2">
      <c r="A326" s="4" t="s">
        <v>954</v>
      </c>
      <c r="B326" s="4" t="s">
        <v>955</v>
      </c>
      <c r="C326" s="4"/>
      <c r="D326" s="4" t="s">
        <v>148</v>
      </c>
      <c r="E326" s="2" t="s">
        <v>208</v>
      </c>
      <c r="F326" s="2" t="s">
        <v>208</v>
      </c>
      <c r="G326" s="2" t="s">
        <v>953</v>
      </c>
      <c r="H326" s="2" t="s">
        <v>953</v>
      </c>
      <c r="K326" s="5" t="str">
        <f>CONCATENATE(Table1[[#This Row],[Lead UKGI Contact Forename]],".",Table1[[#This Row],[Lead UKGI Contact Surname]],"@ukgi.org.uk")</f>
        <v>.@ukgi.org.uk</v>
      </c>
    </row>
    <row r="327" spans="1:11" ht="25.5" x14ac:dyDescent="0.2">
      <c r="A327" s="4" t="s">
        <v>100</v>
      </c>
      <c r="B327" s="4" t="s">
        <v>303</v>
      </c>
      <c r="C327" s="4"/>
      <c r="D327" s="4" t="s">
        <v>148</v>
      </c>
      <c r="E327" s="2" t="s">
        <v>956</v>
      </c>
      <c r="F327" s="2" t="s">
        <v>957</v>
      </c>
      <c r="G327" s="2" t="s">
        <v>157</v>
      </c>
      <c r="H327" s="2" t="s">
        <v>157</v>
      </c>
      <c r="K327" s="5" t="str">
        <f>CONCATENATE(Table1[[#This Row],[Lead UKGI Contact Forename]],".",Table1[[#This Row],[Lead UKGI Contact Surname]],"@ukgi.org.uk")</f>
        <v>.@ukgi.org.uk</v>
      </c>
    </row>
    <row r="328" spans="1:11" ht="25.5" x14ac:dyDescent="0.2">
      <c r="A328" s="4" t="s">
        <v>958</v>
      </c>
      <c r="B328" s="4" t="s">
        <v>959</v>
      </c>
      <c r="C328" s="4"/>
      <c r="D328" s="4" t="s">
        <v>148</v>
      </c>
      <c r="E328" s="2" t="s">
        <v>960</v>
      </c>
      <c r="F328" s="2" t="s">
        <v>961</v>
      </c>
      <c r="G328" s="2" t="s">
        <v>157</v>
      </c>
      <c r="H328" s="2" t="s">
        <v>157</v>
      </c>
      <c r="K328" s="5" t="str">
        <f>CONCATENATE(Table1[[#This Row],[Lead UKGI Contact Forename]],".",Table1[[#This Row],[Lead UKGI Contact Surname]],"@ukgi.org.uk")</f>
        <v>.@ukgi.org.uk</v>
      </c>
    </row>
    <row r="329" spans="1:11" ht="38.25" hidden="1" x14ac:dyDescent="0.2">
      <c r="A329" s="4" t="s">
        <v>962</v>
      </c>
      <c r="B329" s="4" t="s">
        <v>223</v>
      </c>
      <c r="C329" s="4"/>
      <c r="D329" s="4" t="s">
        <v>37</v>
      </c>
      <c r="E329" s="2" t="s">
        <v>963</v>
      </c>
      <c r="F329" s="2" t="s">
        <v>964</v>
      </c>
      <c r="G329" s="2" t="s">
        <v>157</v>
      </c>
      <c r="H329" s="2" t="s">
        <v>965</v>
      </c>
      <c r="K329" s="5" t="str">
        <f>CONCATENATE(Table1[[#This Row],[Lead UKGI Contact Forename]],".",Table1[[#This Row],[Lead UKGI Contact Surname]],"@ukgi.org.uk")</f>
        <v>.@ukgi.org.uk</v>
      </c>
    </row>
    <row r="330" spans="1:11" ht="114.75" hidden="1" x14ac:dyDescent="0.2">
      <c r="A330" s="4" t="s">
        <v>966</v>
      </c>
      <c r="B330" s="4" t="s">
        <v>300</v>
      </c>
      <c r="C330" s="4"/>
      <c r="D330" s="4" t="s">
        <v>37</v>
      </c>
      <c r="E330" s="2" t="s">
        <v>967</v>
      </c>
      <c r="F330" s="2" t="s">
        <v>968</v>
      </c>
      <c r="G330" s="2" t="s">
        <v>157</v>
      </c>
      <c r="H330" s="2" t="s">
        <v>969</v>
      </c>
      <c r="K330" s="5" t="str">
        <f>CONCATENATE(Table1[[#This Row],[Lead UKGI Contact Forename]],".",Table1[[#This Row],[Lead UKGI Contact Surname]],"@ukgi.org.uk")</f>
        <v>.@ukgi.org.uk</v>
      </c>
    </row>
    <row r="331" spans="1:11" ht="127.5" x14ac:dyDescent="0.2">
      <c r="A331" s="4" t="s">
        <v>970</v>
      </c>
      <c r="B331" s="4" t="s">
        <v>971</v>
      </c>
      <c r="C331" s="4"/>
      <c r="D331" s="4" t="s">
        <v>148</v>
      </c>
      <c r="E331" s="2" t="s">
        <v>972</v>
      </c>
      <c r="F331" s="2" t="s">
        <v>973</v>
      </c>
      <c r="G331" s="2" t="s">
        <v>157</v>
      </c>
      <c r="H331" s="2" t="s">
        <v>969</v>
      </c>
      <c r="K331" s="5" t="str">
        <f>CONCATENATE(Table1[[#This Row],[Lead UKGI Contact Forename]],".",Table1[[#This Row],[Lead UKGI Contact Surname]],"@ukgi.org.uk")</f>
        <v>.@ukgi.org.uk</v>
      </c>
    </row>
    <row r="332" spans="1:11" ht="63.75" hidden="1" x14ac:dyDescent="0.2">
      <c r="A332" s="4" t="s">
        <v>358</v>
      </c>
      <c r="B332" s="4" t="s">
        <v>974</v>
      </c>
      <c r="C332" s="4"/>
      <c r="D332" s="4" t="s">
        <v>37</v>
      </c>
      <c r="E332" s="2" t="s">
        <v>149</v>
      </c>
      <c r="F332" s="2" t="s">
        <v>975</v>
      </c>
      <c r="G332" s="2" t="s">
        <v>162</v>
      </c>
      <c r="H332" s="2" t="s">
        <v>976</v>
      </c>
      <c r="K332" s="5" t="str">
        <f>CONCATENATE(Table1[[#This Row],[Lead UKGI Contact Forename]],".",Table1[[#This Row],[Lead UKGI Contact Surname]],"@ukgi.org.uk")</f>
        <v>.@ukgi.org.uk</v>
      </c>
    </row>
    <row r="333" spans="1:11" x14ac:dyDescent="0.2">
      <c r="A333" s="4" t="s">
        <v>977</v>
      </c>
      <c r="B333" s="4" t="s">
        <v>879</v>
      </c>
      <c r="C333" s="4"/>
      <c r="D333" s="4" t="s">
        <v>148</v>
      </c>
      <c r="E333" s="2" t="s">
        <v>150</v>
      </c>
      <c r="F333" s="2" t="s">
        <v>978</v>
      </c>
      <c r="G333" s="2" t="s">
        <v>162</v>
      </c>
      <c r="H333" s="2" t="s">
        <v>979</v>
      </c>
      <c r="K333" s="5" t="str">
        <f>CONCATENATE(Table1[[#This Row],[Lead UKGI Contact Forename]],".",Table1[[#This Row],[Lead UKGI Contact Surname]],"@ukgi.org.uk")</f>
        <v>.@ukgi.org.uk</v>
      </c>
    </row>
    <row r="334" spans="1:11" x14ac:dyDescent="0.2">
      <c r="A334" s="4" t="s">
        <v>980</v>
      </c>
      <c r="B334" s="4" t="s">
        <v>981</v>
      </c>
      <c r="C334" s="4"/>
      <c r="D334" s="4" t="s">
        <v>148</v>
      </c>
      <c r="E334" s="2" t="s">
        <v>982</v>
      </c>
      <c r="F334" s="2" t="s">
        <v>983</v>
      </c>
      <c r="G334" s="2" t="s">
        <v>162</v>
      </c>
      <c r="H334" s="2" t="s">
        <v>979</v>
      </c>
      <c r="K334" s="5" t="str">
        <f>CONCATENATE(Table1[[#This Row],[Lead UKGI Contact Forename]],".",Table1[[#This Row],[Lead UKGI Contact Surname]],"@ukgi.org.uk")</f>
        <v>.@ukgi.org.uk</v>
      </c>
    </row>
    <row r="335" spans="1:11" ht="51" x14ac:dyDescent="0.2">
      <c r="A335" s="4" t="s">
        <v>948</v>
      </c>
      <c r="B335" s="4" t="s">
        <v>63</v>
      </c>
      <c r="C335" s="4"/>
      <c r="D335" s="4" t="s">
        <v>148</v>
      </c>
      <c r="E335" s="2" t="s">
        <v>208</v>
      </c>
      <c r="F335" s="2" t="s">
        <v>984</v>
      </c>
      <c r="G335" s="2" t="s">
        <v>162</v>
      </c>
      <c r="H335" s="2" t="s">
        <v>162</v>
      </c>
      <c r="K335" s="5" t="str">
        <f>CONCATENATE(Table1[[#This Row],[Lead UKGI Contact Forename]],".",Table1[[#This Row],[Lead UKGI Contact Surname]],"@ukgi.org.uk")</f>
        <v>.@ukgi.org.uk</v>
      </c>
    </row>
    <row r="336" spans="1:11" ht="51" x14ac:dyDescent="0.2">
      <c r="A336" s="4" t="s">
        <v>985</v>
      </c>
      <c r="B336" s="4" t="s">
        <v>986</v>
      </c>
      <c r="C336" s="4"/>
      <c r="D336" s="4" t="s">
        <v>148</v>
      </c>
      <c r="E336" s="2" t="s">
        <v>987</v>
      </c>
      <c r="F336" s="2" t="s">
        <v>984</v>
      </c>
      <c r="G336" s="2" t="s">
        <v>162</v>
      </c>
      <c r="H336" s="2" t="s">
        <v>162</v>
      </c>
      <c r="K336" s="5" t="str">
        <f>CONCATENATE(Table1[[#This Row],[Lead UKGI Contact Forename]],".",Table1[[#This Row],[Lead UKGI Contact Surname]],"@ukgi.org.uk")</f>
        <v>.@ukgi.org.uk</v>
      </c>
    </row>
    <row r="337" spans="1:11" ht="89.25" hidden="1" x14ac:dyDescent="0.2">
      <c r="A337" s="4" t="s">
        <v>988</v>
      </c>
      <c r="B337" s="4" t="s">
        <v>989</v>
      </c>
      <c r="C337" s="4"/>
      <c r="D337" s="4" t="s">
        <v>110</v>
      </c>
      <c r="E337" s="2" t="s">
        <v>990</v>
      </c>
      <c r="F337" s="2" t="s">
        <v>991</v>
      </c>
      <c r="G337" s="2" t="s">
        <v>162</v>
      </c>
      <c r="H337" s="2" t="s">
        <v>162</v>
      </c>
      <c r="K337" s="5" t="str">
        <f>CONCATENATE(Table1[[#This Row],[Lead UKGI Contact Forename]],".",Table1[[#This Row],[Lead UKGI Contact Surname]],"@ukgi.org.uk")</f>
        <v>.@ukgi.org.uk</v>
      </c>
    </row>
    <row r="338" spans="1:11" hidden="1" x14ac:dyDescent="0.2">
      <c r="A338" s="4" t="s">
        <v>992</v>
      </c>
      <c r="B338" s="4" t="s">
        <v>993</v>
      </c>
      <c r="C338" s="4"/>
      <c r="D338" s="4" t="s">
        <v>110</v>
      </c>
      <c r="E338" s="2" t="s">
        <v>994</v>
      </c>
      <c r="F338" s="2" t="s">
        <v>990</v>
      </c>
      <c r="G338" s="2" t="s">
        <v>162</v>
      </c>
      <c r="H338" s="2" t="s">
        <v>995</v>
      </c>
      <c r="K338" s="5" t="str">
        <f>CONCATENATE(Table1[[#This Row],[Lead UKGI Contact Forename]],".",Table1[[#This Row],[Lead UKGI Contact Surname]],"@ukgi.org.uk")</f>
        <v>.@ukgi.org.uk</v>
      </c>
    </row>
    <row r="339" spans="1:11" ht="165.75" hidden="1" x14ac:dyDescent="0.2">
      <c r="A339" s="4" t="s">
        <v>786</v>
      </c>
      <c r="B339" s="4" t="s">
        <v>996</v>
      </c>
      <c r="C339" s="4"/>
      <c r="D339" s="4" t="s">
        <v>110</v>
      </c>
      <c r="E339" s="2" t="s">
        <v>234</v>
      </c>
      <c r="F339" s="2" t="s">
        <v>997</v>
      </c>
      <c r="G339" s="2" t="s">
        <v>412</v>
      </c>
      <c r="H339" s="2" t="s">
        <v>998</v>
      </c>
      <c r="K339" s="5" t="str">
        <f>CONCATENATE(Table1[[#This Row],[Lead UKGI Contact Forename]],".",Table1[[#This Row],[Lead UKGI Contact Surname]],"@ukgi.org.uk")</f>
        <v>.@ukgi.org.uk</v>
      </c>
    </row>
    <row r="340" spans="1:11" ht="127.5" x14ac:dyDescent="0.2">
      <c r="A340" s="4" t="s">
        <v>999</v>
      </c>
      <c r="B340" s="4" t="s">
        <v>1000</v>
      </c>
      <c r="C340" s="4"/>
      <c r="D340" s="4" t="s">
        <v>148</v>
      </c>
      <c r="E340" s="2" t="s">
        <v>1001</v>
      </c>
      <c r="F340" s="2" t="s">
        <v>1002</v>
      </c>
      <c r="G340" s="2" t="s">
        <v>412</v>
      </c>
      <c r="H340" s="2" t="s">
        <v>998</v>
      </c>
      <c r="K340" s="5" t="str">
        <f>CONCATENATE(Table1[[#This Row],[Lead UKGI Contact Forename]],".",Table1[[#This Row],[Lead UKGI Contact Surname]],"@ukgi.org.uk")</f>
        <v>.@ukgi.org.uk</v>
      </c>
    </row>
    <row r="341" spans="1:11" ht="204" hidden="1" x14ac:dyDescent="0.2">
      <c r="A341" s="4" t="s">
        <v>452</v>
      </c>
      <c r="B341" s="4" t="s">
        <v>1003</v>
      </c>
      <c r="C341" s="4"/>
      <c r="D341" s="4" t="s">
        <v>45</v>
      </c>
      <c r="E341" s="2" t="s">
        <v>1004</v>
      </c>
      <c r="F341" s="2" t="s">
        <v>1005</v>
      </c>
      <c r="G341" s="2" t="s">
        <v>412</v>
      </c>
      <c r="H341" s="2" t="s">
        <v>998</v>
      </c>
      <c r="K341" s="5" t="str">
        <f>CONCATENATE(Table1[[#This Row],[Lead UKGI Contact Forename]],".",Table1[[#This Row],[Lead UKGI Contact Surname]],"@ukgi.org.uk")</f>
        <v>.@ukgi.org.uk</v>
      </c>
    </row>
    <row r="342" spans="1:11" ht="25.5" hidden="1" x14ac:dyDescent="0.2">
      <c r="A342" s="4" t="s">
        <v>1006</v>
      </c>
      <c r="B342" s="4" t="s">
        <v>1007</v>
      </c>
      <c r="C342" s="4"/>
      <c r="D342" s="4" t="s">
        <v>110</v>
      </c>
      <c r="E342" s="2" t="s">
        <v>424</v>
      </c>
      <c r="F342" s="2" t="s">
        <v>424</v>
      </c>
      <c r="G342" s="2" t="s">
        <v>1008</v>
      </c>
      <c r="H342" s="2" t="s">
        <v>1009</v>
      </c>
      <c r="K342" s="5" t="str">
        <f>CONCATENATE(Table1[[#This Row],[Lead UKGI Contact Forename]],".",Table1[[#This Row],[Lead UKGI Contact Surname]],"@ukgi.org.uk")</f>
        <v>.@ukgi.org.uk</v>
      </c>
    </row>
    <row r="343" spans="1:11" ht="25.5" hidden="1" x14ac:dyDescent="0.2">
      <c r="A343" s="4" t="s">
        <v>857</v>
      </c>
      <c r="B343" s="4" t="s">
        <v>527</v>
      </c>
      <c r="C343" s="4"/>
      <c r="D343" s="4" t="s">
        <v>110</v>
      </c>
      <c r="E343" s="2" t="s">
        <v>1010</v>
      </c>
      <c r="F343" s="2" t="s">
        <v>1011</v>
      </c>
      <c r="G343" s="2" t="s">
        <v>1008</v>
      </c>
      <c r="H343" s="2" t="s">
        <v>1009</v>
      </c>
      <c r="K343" s="5" t="str">
        <f>CONCATENATE(Table1[[#This Row],[Lead UKGI Contact Forename]],".",Table1[[#This Row],[Lead UKGI Contact Surname]],"@ukgi.org.uk")</f>
        <v>.@ukgi.org.uk</v>
      </c>
    </row>
    <row r="344" spans="1:11" ht="25.5" x14ac:dyDescent="0.2">
      <c r="A344" s="4" t="s">
        <v>1012</v>
      </c>
      <c r="B344" s="4" t="s">
        <v>1013</v>
      </c>
      <c r="C344" s="4"/>
      <c r="D344" s="4" t="s">
        <v>148</v>
      </c>
      <c r="E344" s="2" t="s">
        <v>1014</v>
      </c>
      <c r="F344" s="2" t="s">
        <v>1014</v>
      </c>
      <c r="G344" s="2" t="s">
        <v>1008</v>
      </c>
      <c r="H344" s="2" t="s">
        <v>1008</v>
      </c>
      <c r="K344" s="5" t="str">
        <f>CONCATENATE(Table1[[#This Row],[Lead UKGI Contact Forename]],".",Table1[[#This Row],[Lead UKGI Contact Surname]],"@ukgi.org.uk")</f>
        <v>.@ukgi.org.uk</v>
      </c>
    </row>
    <row r="345" spans="1:11" ht="25.5" x14ac:dyDescent="0.2">
      <c r="A345" s="4" t="s">
        <v>1015</v>
      </c>
      <c r="B345" s="4" t="s">
        <v>1016</v>
      </c>
      <c r="C345" s="4"/>
      <c r="D345" s="4" t="s">
        <v>148</v>
      </c>
      <c r="E345" s="2" t="s">
        <v>1017</v>
      </c>
      <c r="F345" s="2" t="s">
        <v>1017</v>
      </c>
      <c r="G345" s="2" t="s">
        <v>1008</v>
      </c>
      <c r="H345" s="2" t="s">
        <v>1018</v>
      </c>
      <c r="K345" s="5" t="str">
        <f>CONCATENATE(Table1[[#This Row],[Lead UKGI Contact Forename]],".",Table1[[#This Row],[Lead UKGI Contact Surname]],"@ukgi.org.uk")</f>
        <v>.@ukgi.org.uk</v>
      </c>
    </row>
    <row r="346" spans="1:11" ht="51" hidden="1" x14ac:dyDescent="0.2">
      <c r="A346" s="4" t="s">
        <v>1019</v>
      </c>
      <c r="B346" s="4" t="s">
        <v>1020</v>
      </c>
      <c r="C346" s="4"/>
      <c r="D346" s="4" t="s">
        <v>37</v>
      </c>
      <c r="E346" s="2" t="s">
        <v>149</v>
      </c>
      <c r="F346" s="2" t="s">
        <v>1021</v>
      </c>
      <c r="G346" s="2" t="s">
        <v>1008</v>
      </c>
      <c r="H346" s="2" t="s">
        <v>1022</v>
      </c>
      <c r="K346" s="5" t="str">
        <f>CONCATENATE(Table1[[#This Row],[Lead UKGI Contact Forename]],".",Table1[[#This Row],[Lead UKGI Contact Surname]],"@ukgi.org.uk")</f>
        <v>.@ukgi.org.uk</v>
      </c>
    </row>
    <row r="347" spans="1:11" x14ac:dyDescent="0.2">
      <c r="A347" s="4" t="s">
        <v>1023</v>
      </c>
      <c r="B347" s="4" t="s">
        <v>1024</v>
      </c>
      <c r="C347" s="4"/>
      <c r="D347" s="4" t="s">
        <v>148</v>
      </c>
      <c r="E347" s="2" t="s">
        <v>1025</v>
      </c>
      <c r="F347" s="2" t="s">
        <v>1025</v>
      </c>
      <c r="G347" s="2" t="s">
        <v>1008</v>
      </c>
      <c r="H347" s="2" t="s">
        <v>1008</v>
      </c>
      <c r="K347" s="5" t="str">
        <f>CONCATENATE(Table1[[#This Row],[Lead UKGI Contact Forename]],".",Table1[[#This Row],[Lead UKGI Contact Surname]],"@ukgi.org.uk")</f>
        <v>.@ukgi.org.uk</v>
      </c>
    </row>
    <row r="348" spans="1:11" ht="25.5" hidden="1" x14ac:dyDescent="0.2">
      <c r="A348" s="4" t="s">
        <v>1026</v>
      </c>
      <c r="B348" s="4" t="s">
        <v>1027</v>
      </c>
      <c r="C348" s="4"/>
      <c r="D348" s="4" t="s">
        <v>143</v>
      </c>
      <c r="E348" s="2" t="s">
        <v>1028</v>
      </c>
      <c r="F348" s="2" t="s">
        <v>1029</v>
      </c>
      <c r="G348" s="2" t="s">
        <v>1008</v>
      </c>
      <c r="H348" s="2" t="s">
        <v>1030</v>
      </c>
      <c r="K348" s="5" t="str">
        <f>CONCATENATE(Table1[[#This Row],[Lead UKGI Contact Forename]],".",Table1[[#This Row],[Lead UKGI Contact Surname]],"@ukgi.org.uk")</f>
        <v>.@ukgi.org.uk</v>
      </c>
    </row>
    <row r="349" spans="1:11" ht="25.5" hidden="1" x14ac:dyDescent="0.2">
      <c r="A349" s="4" t="s">
        <v>1031</v>
      </c>
      <c r="B349" s="4" t="s">
        <v>1032</v>
      </c>
      <c r="C349" s="4"/>
      <c r="D349" s="4" t="s">
        <v>211</v>
      </c>
      <c r="E349" s="2" t="s">
        <v>1033</v>
      </c>
      <c r="F349" s="2" t="s">
        <v>1034</v>
      </c>
      <c r="G349" s="2" t="s">
        <v>1008</v>
      </c>
      <c r="H349" s="2" t="s">
        <v>1035</v>
      </c>
      <c r="K349" s="5" t="str">
        <f>CONCATENATE(Table1[[#This Row],[Lead UKGI Contact Forename]],".",Table1[[#This Row],[Lead UKGI Contact Surname]],"@ukgi.org.uk")</f>
        <v>.@ukgi.org.uk</v>
      </c>
    </row>
    <row r="350" spans="1:11" ht="25.5" hidden="1" x14ac:dyDescent="0.2">
      <c r="A350" s="4" t="s">
        <v>1036</v>
      </c>
      <c r="B350" s="4" t="s">
        <v>247</v>
      </c>
      <c r="C350" s="4"/>
      <c r="D350" s="4" t="s">
        <v>211</v>
      </c>
      <c r="E350" s="2" t="s">
        <v>1037</v>
      </c>
      <c r="F350" s="2" t="s">
        <v>438</v>
      </c>
      <c r="G350" s="2" t="s">
        <v>1008</v>
      </c>
      <c r="H350" s="2" t="s">
        <v>1035</v>
      </c>
      <c r="K350" s="5" t="str">
        <f>CONCATENATE(Table1[[#This Row],[Lead UKGI Contact Forename]],".",Table1[[#This Row],[Lead UKGI Contact Surname]],"@ukgi.org.uk")</f>
        <v>.@ukgi.org.uk</v>
      </c>
    </row>
    <row r="351" spans="1:11" ht="25.5" hidden="1" x14ac:dyDescent="0.2">
      <c r="A351" s="4" t="s">
        <v>1038</v>
      </c>
      <c r="B351" s="4" t="s">
        <v>1039</v>
      </c>
      <c r="C351" s="4"/>
      <c r="D351" s="4" t="s">
        <v>211</v>
      </c>
      <c r="E351" s="2" t="s">
        <v>1037</v>
      </c>
      <c r="F351" s="2" t="s">
        <v>1040</v>
      </c>
      <c r="G351" s="2" t="s">
        <v>1008</v>
      </c>
      <c r="H351" s="2" t="s">
        <v>1035</v>
      </c>
      <c r="K351" s="5" t="str">
        <f>CONCATENATE(Table1[[#This Row],[Lead UKGI Contact Forename]],".",Table1[[#This Row],[Lead UKGI Contact Surname]],"@ukgi.org.uk")</f>
        <v>.@ukgi.org.uk</v>
      </c>
    </row>
    <row r="352" spans="1:11" ht="25.5" hidden="1" x14ac:dyDescent="0.2">
      <c r="A352" s="4" t="s">
        <v>1041</v>
      </c>
      <c r="B352" s="4" t="s">
        <v>98</v>
      </c>
      <c r="C352" s="4"/>
      <c r="D352" s="4" t="s">
        <v>211</v>
      </c>
      <c r="E352" s="2" t="s">
        <v>1042</v>
      </c>
      <c r="F352" s="2"/>
      <c r="G352" s="2" t="s">
        <v>1008</v>
      </c>
      <c r="H352" s="2" t="s">
        <v>1035</v>
      </c>
      <c r="K352" s="5" t="str">
        <f>CONCATENATE(Table1[[#This Row],[Lead UKGI Contact Forename]],".",Table1[[#This Row],[Lead UKGI Contact Surname]],"@ukgi.org.uk")</f>
        <v>.@ukgi.org.uk</v>
      </c>
    </row>
    <row r="353" spans="1:11" ht="25.5" hidden="1" x14ac:dyDescent="0.2">
      <c r="A353" s="4" t="s">
        <v>1043</v>
      </c>
      <c r="B353" s="4" t="s">
        <v>51</v>
      </c>
      <c r="C353" s="4"/>
      <c r="D353" s="4" t="s">
        <v>37</v>
      </c>
      <c r="E353" s="2" t="s">
        <v>1044</v>
      </c>
      <c r="F353" s="2" t="s">
        <v>1044</v>
      </c>
      <c r="G353" s="2" t="s">
        <v>1008</v>
      </c>
      <c r="H353" s="2" t="s">
        <v>1008</v>
      </c>
      <c r="K353" s="5" t="str">
        <f>CONCATENATE(Table1[[#This Row],[Lead UKGI Contact Forename]],".",Table1[[#This Row],[Lead UKGI Contact Surname]],"@ukgi.org.uk")</f>
        <v>.@ukgi.org.uk</v>
      </c>
    </row>
    <row r="354" spans="1:11" ht="25.5" hidden="1" x14ac:dyDescent="0.2">
      <c r="A354" s="4" t="s">
        <v>1045</v>
      </c>
      <c r="B354" s="4" t="s">
        <v>1046</v>
      </c>
      <c r="C354" s="4"/>
      <c r="D354" s="4" t="s">
        <v>143</v>
      </c>
      <c r="E354" s="2" t="s">
        <v>1047</v>
      </c>
      <c r="F354" s="2" t="s">
        <v>1048</v>
      </c>
      <c r="G354" s="2" t="s">
        <v>1008</v>
      </c>
      <c r="H354" s="2" t="s">
        <v>1049</v>
      </c>
      <c r="K354" s="5" t="str">
        <f>CONCATENATE(Table1[[#This Row],[Lead UKGI Contact Forename]],".",Table1[[#This Row],[Lead UKGI Contact Surname]],"@ukgi.org.uk")</f>
        <v>.@ukgi.org.uk</v>
      </c>
    </row>
    <row r="355" spans="1:11" ht="38.25" hidden="1" x14ac:dyDescent="0.2">
      <c r="A355" s="4" t="s">
        <v>1050</v>
      </c>
      <c r="B355" s="4" t="s">
        <v>1051</v>
      </c>
      <c r="C355" s="4"/>
      <c r="D355" s="4" t="s">
        <v>622</v>
      </c>
      <c r="E355" s="2" t="s">
        <v>1052</v>
      </c>
      <c r="F355" s="2" t="s">
        <v>1053</v>
      </c>
      <c r="G355" s="2" t="s">
        <v>1054</v>
      </c>
      <c r="H355" s="2" t="s">
        <v>1055</v>
      </c>
      <c r="K355" s="5" t="str">
        <f>CONCATENATE(Table1[[#This Row],[Lead UKGI Contact Forename]],".",Table1[[#This Row],[Lead UKGI Contact Surname]],"@ukgi.org.uk")</f>
        <v>.@ukgi.org.uk</v>
      </c>
    </row>
    <row r="356" spans="1:11" ht="38.25" hidden="1" x14ac:dyDescent="0.2">
      <c r="A356" s="4" t="s">
        <v>1056</v>
      </c>
      <c r="B356" s="4" t="s">
        <v>1057</v>
      </c>
      <c r="C356" s="4"/>
      <c r="D356" s="4" t="s">
        <v>37</v>
      </c>
      <c r="E356" s="2" t="s">
        <v>234</v>
      </c>
      <c r="F356" s="2" t="s">
        <v>1058</v>
      </c>
      <c r="G356" s="2" t="s">
        <v>1054</v>
      </c>
      <c r="H356" s="2" t="s">
        <v>1058</v>
      </c>
      <c r="K356" s="5" t="str">
        <f>CONCATENATE(Table1[[#This Row],[Lead UKGI Contact Forename]],".",Table1[[#This Row],[Lead UKGI Contact Surname]],"@ukgi.org.uk")</f>
        <v>.@ukgi.org.uk</v>
      </c>
    </row>
    <row r="357" spans="1:11" ht="38.25" hidden="1" x14ac:dyDescent="0.2">
      <c r="A357" s="4" t="s">
        <v>183</v>
      </c>
      <c r="B357" s="4" t="s">
        <v>615</v>
      </c>
      <c r="C357" s="4"/>
      <c r="D357" s="4" t="s">
        <v>45</v>
      </c>
      <c r="E357" s="2" t="s">
        <v>863</v>
      </c>
      <c r="F357" s="2" t="s">
        <v>1059</v>
      </c>
      <c r="G357" s="2" t="s">
        <v>1054</v>
      </c>
      <c r="H357" s="2" t="s">
        <v>1058</v>
      </c>
      <c r="K357" s="5" t="str">
        <f>CONCATENATE(Table1[[#This Row],[Lead UKGI Contact Forename]],".",Table1[[#This Row],[Lead UKGI Contact Surname]],"@ukgi.org.uk")</f>
        <v>.@ukgi.org.uk</v>
      </c>
    </row>
    <row r="358" spans="1:11" ht="38.25" hidden="1" x14ac:dyDescent="0.2">
      <c r="A358" s="4" t="s">
        <v>1060</v>
      </c>
      <c r="B358" s="4" t="s">
        <v>1061</v>
      </c>
      <c r="C358" s="4"/>
      <c r="D358" s="4" t="s">
        <v>45</v>
      </c>
      <c r="E358" s="2" t="s">
        <v>1062</v>
      </c>
      <c r="F358" s="2" t="s">
        <v>1063</v>
      </c>
      <c r="G358" s="2" t="s">
        <v>1054</v>
      </c>
      <c r="H358" s="2" t="s">
        <v>1058</v>
      </c>
      <c r="K358" s="5" t="str">
        <f>CONCATENATE(Table1[[#This Row],[Lead UKGI Contact Forename]],".",Table1[[#This Row],[Lead UKGI Contact Surname]],"@ukgi.org.uk")</f>
        <v>.@ukgi.org.uk</v>
      </c>
    </row>
    <row r="359" spans="1:11" ht="38.25" hidden="1" x14ac:dyDescent="0.2">
      <c r="A359" s="4" t="s">
        <v>1064</v>
      </c>
      <c r="B359" s="4" t="s">
        <v>121</v>
      </c>
      <c r="C359" s="4"/>
      <c r="D359" s="4" t="s">
        <v>143</v>
      </c>
      <c r="E359" s="2" t="s">
        <v>1065</v>
      </c>
      <c r="F359" s="2" t="s">
        <v>1058</v>
      </c>
      <c r="G359" s="2" t="s">
        <v>1054</v>
      </c>
      <c r="H359" s="2" t="s">
        <v>1058</v>
      </c>
      <c r="K359" s="5" t="str">
        <f>CONCATENATE(Table1[[#This Row],[Lead UKGI Contact Forename]],".",Table1[[#This Row],[Lead UKGI Contact Surname]],"@ukgi.org.uk")</f>
        <v>.@ukgi.org.uk</v>
      </c>
    </row>
    <row r="360" spans="1:11" ht="63.75" hidden="1" x14ac:dyDescent="0.2">
      <c r="A360" s="4" t="s">
        <v>436</v>
      </c>
      <c r="B360" s="4" t="s">
        <v>51</v>
      </c>
      <c r="C360" s="4"/>
      <c r="D360" s="4" t="s">
        <v>211</v>
      </c>
      <c r="E360" s="2" t="s">
        <v>234</v>
      </c>
      <c r="F360" s="2" t="s">
        <v>1066</v>
      </c>
      <c r="G360" s="2" t="s">
        <v>1054</v>
      </c>
      <c r="H360" s="2" t="s">
        <v>1067</v>
      </c>
      <c r="K360" s="5" t="str">
        <f>CONCATENATE(Table1[[#This Row],[Lead UKGI Contact Forename]],".",Table1[[#This Row],[Lead UKGI Contact Surname]],"@ukgi.org.uk")</f>
        <v>.@ukgi.org.uk</v>
      </c>
    </row>
    <row r="361" spans="1:11" ht="38.25" hidden="1" x14ac:dyDescent="0.2">
      <c r="A361" s="4" t="s">
        <v>1068</v>
      </c>
      <c r="B361" s="4" t="s">
        <v>1069</v>
      </c>
      <c r="C361" s="4"/>
      <c r="D361" s="4" t="s">
        <v>37</v>
      </c>
      <c r="E361" s="2" t="s">
        <v>1070</v>
      </c>
      <c r="F361" s="2" t="s">
        <v>1071</v>
      </c>
      <c r="G361" s="2" t="s">
        <v>1054</v>
      </c>
      <c r="H361" s="2" t="s">
        <v>1072</v>
      </c>
      <c r="K361" s="5" t="str">
        <f>CONCATENATE(Table1[[#This Row],[Lead UKGI Contact Forename]],".",Table1[[#This Row],[Lead UKGI Contact Surname]],"@ukgi.org.uk")</f>
        <v>.@ukgi.org.uk</v>
      </c>
    </row>
    <row r="362" spans="1:11" ht="38.25" hidden="1" x14ac:dyDescent="0.2">
      <c r="A362" s="4" t="s">
        <v>1073</v>
      </c>
      <c r="B362" s="4" t="s">
        <v>1074</v>
      </c>
      <c r="C362" s="4"/>
      <c r="D362" s="4" t="s">
        <v>37</v>
      </c>
      <c r="E362" s="2" t="s">
        <v>1075</v>
      </c>
      <c r="F362" s="2" t="s">
        <v>1076</v>
      </c>
      <c r="G362" s="2" t="s">
        <v>1054</v>
      </c>
      <c r="H362" s="2" t="s">
        <v>1072</v>
      </c>
      <c r="K362" s="5" t="str">
        <f>CONCATENATE(Table1[[#This Row],[Lead UKGI Contact Forename]],".",Table1[[#This Row],[Lead UKGI Contact Surname]],"@ukgi.org.uk")</f>
        <v>.@ukgi.org.uk</v>
      </c>
    </row>
    <row r="363" spans="1:11" ht="38.25" hidden="1" x14ac:dyDescent="0.2">
      <c r="A363" s="4" t="s">
        <v>1077</v>
      </c>
      <c r="B363" s="4" t="s">
        <v>118</v>
      </c>
      <c r="C363" s="4"/>
      <c r="D363" s="4" t="s">
        <v>37</v>
      </c>
      <c r="E363" s="2" t="s">
        <v>1078</v>
      </c>
      <c r="F363" s="2" t="s">
        <v>252</v>
      </c>
      <c r="G363" s="2" t="s">
        <v>1054</v>
      </c>
      <c r="H363" s="2" t="s">
        <v>1072</v>
      </c>
      <c r="K363" s="5" t="str">
        <f>CONCATENATE(Table1[[#This Row],[Lead UKGI Contact Forename]],".",Table1[[#This Row],[Lead UKGI Contact Surname]],"@ukgi.org.uk")</f>
        <v>.@ukgi.org.uk</v>
      </c>
    </row>
    <row r="364" spans="1:11" ht="38.25" hidden="1" x14ac:dyDescent="0.2">
      <c r="A364" s="4" t="s">
        <v>1079</v>
      </c>
      <c r="B364" s="4" t="s">
        <v>1080</v>
      </c>
      <c r="C364" s="4"/>
      <c r="D364" s="4" t="s">
        <v>37</v>
      </c>
      <c r="E364" s="2" t="s">
        <v>1081</v>
      </c>
      <c r="F364" s="2" t="s">
        <v>1081</v>
      </c>
      <c r="G364" s="2" t="s">
        <v>1054</v>
      </c>
      <c r="H364" s="2" t="s">
        <v>1072</v>
      </c>
      <c r="K364" s="5" t="str">
        <f>CONCATENATE(Table1[[#This Row],[Lead UKGI Contact Forename]],".",Table1[[#This Row],[Lead UKGI Contact Surname]],"@ukgi.org.uk")</f>
        <v>.@ukgi.org.uk</v>
      </c>
    </row>
    <row r="365" spans="1:11" ht="38.25" hidden="1" x14ac:dyDescent="0.2">
      <c r="A365" s="4" t="s">
        <v>1082</v>
      </c>
      <c r="B365" s="4" t="s">
        <v>300</v>
      </c>
      <c r="C365" s="4"/>
      <c r="D365" s="4" t="s">
        <v>37</v>
      </c>
      <c r="E365" s="2" t="s">
        <v>1083</v>
      </c>
      <c r="F365" s="2" t="s">
        <v>1083</v>
      </c>
      <c r="G365" s="2" t="s">
        <v>1054</v>
      </c>
      <c r="H365" s="2" t="s">
        <v>1072</v>
      </c>
      <c r="K365" s="5" t="str">
        <f>CONCATENATE(Table1[[#This Row],[Lead UKGI Contact Forename]],".",Table1[[#This Row],[Lead UKGI Contact Surname]],"@ukgi.org.uk")</f>
        <v>.@ukgi.org.uk</v>
      </c>
    </row>
    <row r="366" spans="1:11" ht="38.25" hidden="1" x14ac:dyDescent="0.2">
      <c r="A366" s="4" t="s">
        <v>1084</v>
      </c>
      <c r="B366" s="4" t="s">
        <v>1085</v>
      </c>
      <c r="C366" s="4"/>
      <c r="D366" s="4" t="s">
        <v>37</v>
      </c>
      <c r="E366" s="2" t="s">
        <v>234</v>
      </c>
      <c r="F366" s="2" t="s">
        <v>1086</v>
      </c>
      <c r="G366" s="2" t="s">
        <v>1054</v>
      </c>
      <c r="H366" s="2" t="s">
        <v>1087</v>
      </c>
      <c r="K366" s="5" t="str">
        <f>CONCATENATE(Table1[[#This Row],[Lead UKGI Contact Forename]],".",Table1[[#This Row],[Lead UKGI Contact Surname]],"@ukgi.org.uk")</f>
        <v>.@ukgi.org.uk</v>
      </c>
    </row>
    <row r="367" spans="1:11" ht="38.25" hidden="1" x14ac:dyDescent="0.2">
      <c r="A367" s="4" t="s">
        <v>601</v>
      </c>
      <c r="B367" s="4" t="s">
        <v>1088</v>
      </c>
      <c r="C367" s="4"/>
      <c r="D367" s="4" t="s">
        <v>143</v>
      </c>
      <c r="E367" s="2" t="s">
        <v>143</v>
      </c>
      <c r="F367" s="2" t="s">
        <v>1089</v>
      </c>
      <c r="G367" s="2" t="s">
        <v>1054</v>
      </c>
      <c r="H367" s="2" t="s">
        <v>1087</v>
      </c>
      <c r="K367" s="5" t="str">
        <f>CONCATENATE(Table1[[#This Row],[Lead UKGI Contact Forename]],".",Table1[[#This Row],[Lead UKGI Contact Surname]],"@ukgi.org.uk")</f>
        <v>.@ukgi.org.uk</v>
      </c>
    </row>
    <row r="368" spans="1:11" ht="38.25" hidden="1" x14ac:dyDescent="0.2">
      <c r="A368" s="4" t="s">
        <v>1090</v>
      </c>
      <c r="B368" s="4" t="s">
        <v>1091</v>
      </c>
      <c r="C368" s="4"/>
      <c r="D368" s="4" t="s">
        <v>37</v>
      </c>
      <c r="E368" s="2" t="s">
        <v>1092</v>
      </c>
      <c r="F368" s="2" t="s">
        <v>1093</v>
      </c>
      <c r="G368" s="2" t="s">
        <v>1054</v>
      </c>
      <c r="H368" s="2" t="s">
        <v>1054</v>
      </c>
      <c r="K368" s="5" t="str">
        <f>CONCATENATE(Table1[[#This Row],[Lead UKGI Contact Forename]],".",Table1[[#This Row],[Lead UKGI Contact Surname]],"@ukgi.org.uk")</f>
        <v>.@ukgi.org.uk</v>
      </c>
    </row>
    <row r="369" spans="1:11" ht="38.25" hidden="1" x14ac:dyDescent="0.2">
      <c r="A369" s="4" t="s">
        <v>1094</v>
      </c>
      <c r="B369" s="4" t="s">
        <v>1095</v>
      </c>
      <c r="C369" s="4"/>
      <c r="D369" s="4" t="s">
        <v>110</v>
      </c>
      <c r="E369" s="2" t="s">
        <v>1096</v>
      </c>
      <c r="F369" s="2" t="s">
        <v>1097</v>
      </c>
      <c r="G369" s="2" t="s">
        <v>1054</v>
      </c>
      <c r="H369" s="2" t="s">
        <v>1054</v>
      </c>
      <c r="K369" s="5" t="str">
        <f>CONCATENATE(Table1[[#This Row],[Lead UKGI Contact Forename]],".",Table1[[#This Row],[Lead UKGI Contact Surname]],"@ukgi.org.uk")</f>
        <v>.@ukgi.org.uk</v>
      </c>
    </row>
    <row r="370" spans="1:11" ht="38.25" x14ac:dyDescent="0.2">
      <c r="A370" s="4" t="s">
        <v>1098</v>
      </c>
      <c r="B370" s="4" t="s">
        <v>214</v>
      </c>
      <c r="C370" s="4"/>
      <c r="D370" s="4" t="s">
        <v>148</v>
      </c>
      <c r="E370" s="2" t="s">
        <v>208</v>
      </c>
      <c r="F370" s="2" t="s">
        <v>1099</v>
      </c>
      <c r="G370" s="2" t="s">
        <v>1054</v>
      </c>
      <c r="H370" s="2" t="s">
        <v>1054</v>
      </c>
      <c r="K370" s="5" t="str">
        <f>CONCATENATE(Table1[[#This Row],[Lead UKGI Contact Forename]],".",Table1[[#This Row],[Lead UKGI Contact Surname]],"@ukgi.org.uk")</f>
        <v>.@ukgi.org.uk</v>
      </c>
    </row>
    <row r="371" spans="1:11" ht="38.25" hidden="1" x14ac:dyDescent="0.2">
      <c r="A371" s="4" t="s">
        <v>1100</v>
      </c>
      <c r="B371" s="4" t="s">
        <v>1101</v>
      </c>
      <c r="C371" s="4"/>
      <c r="D371" s="4" t="s">
        <v>110</v>
      </c>
      <c r="E371" s="2" t="s">
        <v>1102</v>
      </c>
      <c r="F371" s="2" t="s">
        <v>1102</v>
      </c>
      <c r="G371" s="2" t="s">
        <v>1054</v>
      </c>
      <c r="H371" s="2" t="s">
        <v>1054</v>
      </c>
      <c r="K371" s="5" t="str">
        <f>CONCATENATE(Table1[[#This Row],[Lead UKGI Contact Forename]],".",Table1[[#This Row],[Lead UKGI Contact Surname]],"@ukgi.org.uk")</f>
        <v>.@ukgi.org.uk</v>
      </c>
    </row>
    <row r="372" spans="1:11" ht="38.25" x14ac:dyDescent="0.2">
      <c r="A372" s="4" t="s">
        <v>1103</v>
      </c>
      <c r="B372" s="4" t="s">
        <v>1104</v>
      </c>
      <c r="C372" s="4"/>
      <c r="D372" s="4" t="s">
        <v>148</v>
      </c>
      <c r="E372" s="2" t="s">
        <v>149</v>
      </c>
      <c r="F372" s="2" t="s">
        <v>1105</v>
      </c>
      <c r="G372" s="2" t="s">
        <v>1054</v>
      </c>
      <c r="H372" s="2" t="s">
        <v>1054</v>
      </c>
      <c r="K372" s="5" t="str">
        <f>CONCATENATE(Table1[[#This Row],[Lead UKGI Contact Forename]],".",Table1[[#This Row],[Lead UKGI Contact Surname]],"@ukgi.org.uk")</f>
        <v>.@ukgi.org.uk</v>
      </c>
    </row>
    <row r="373" spans="1:11" ht="38.25" x14ac:dyDescent="0.2">
      <c r="A373" s="4" t="s">
        <v>1106</v>
      </c>
      <c r="B373" s="4" t="s">
        <v>364</v>
      </c>
      <c r="C373" s="4"/>
      <c r="D373" s="4" t="s">
        <v>148</v>
      </c>
      <c r="E373" s="2" t="s">
        <v>272</v>
      </c>
      <c r="F373" s="2" t="s">
        <v>272</v>
      </c>
      <c r="G373" s="2" t="s">
        <v>1054</v>
      </c>
      <c r="H373" s="2" t="s">
        <v>1054</v>
      </c>
      <c r="K373" s="5" t="str">
        <f>CONCATENATE(Table1[[#This Row],[Lead UKGI Contact Forename]],".",Table1[[#This Row],[Lead UKGI Contact Surname]],"@ukgi.org.uk")</f>
        <v>.@ukgi.org.uk</v>
      </c>
    </row>
    <row r="374" spans="1:11" ht="38.25" x14ac:dyDescent="0.2">
      <c r="A374" s="4" t="s">
        <v>1107</v>
      </c>
      <c r="B374" s="4" t="s">
        <v>94</v>
      </c>
      <c r="C374" s="4"/>
      <c r="D374" s="4" t="s">
        <v>148</v>
      </c>
      <c r="E374" s="2" t="s">
        <v>149</v>
      </c>
      <c r="F374" s="2" t="s">
        <v>1108</v>
      </c>
      <c r="G374" s="2" t="s">
        <v>1054</v>
      </c>
      <c r="H374" s="2" t="s">
        <v>1109</v>
      </c>
      <c r="K374" s="5" t="str">
        <f>CONCATENATE(Table1[[#This Row],[Lead UKGI Contact Forename]],".",Table1[[#This Row],[Lead UKGI Contact Surname]],"@ukgi.org.uk")</f>
        <v>.@ukgi.org.uk</v>
      </c>
    </row>
    <row r="375" spans="1:11" ht="191.25" hidden="1" x14ac:dyDescent="0.2">
      <c r="A375" s="4" t="s">
        <v>1110</v>
      </c>
      <c r="B375" s="4" t="s">
        <v>152</v>
      </c>
      <c r="C375" s="4"/>
      <c r="D375" s="4" t="s">
        <v>627</v>
      </c>
      <c r="E375" s="2" t="s">
        <v>627</v>
      </c>
      <c r="F375" s="2" t="s">
        <v>1111</v>
      </c>
      <c r="G375" s="2" t="s">
        <v>1054</v>
      </c>
      <c r="H375" s="2" t="s">
        <v>1112</v>
      </c>
      <c r="K375" s="5" t="str">
        <f>CONCATENATE(Table1[[#This Row],[Lead UKGI Contact Forename]],".",Table1[[#This Row],[Lead UKGI Contact Surname]],"@ukgi.org.uk")</f>
        <v>.@ukgi.org.uk</v>
      </c>
    </row>
    <row r="376" spans="1:11" ht="38.25" hidden="1" x14ac:dyDescent="0.2">
      <c r="A376" s="4" t="s">
        <v>1113</v>
      </c>
      <c r="B376" s="4" t="s">
        <v>300</v>
      </c>
      <c r="C376" s="4"/>
      <c r="D376" s="4" t="s">
        <v>37</v>
      </c>
      <c r="E376" s="2" t="s">
        <v>1114</v>
      </c>
      <c r="F376" s="2" t="s">
        <v>1115</v>
      </c>
      <c r="G376" s="2" t="s">
        <v>1054</v>
      </c>
      <c r="H376" s="2" t="s">
        <v>1116</v>
      </c>
      <c r="K376" s="5" t="str">
        <f>CONCATENATE(Table1[[#This Row],[Lead UKGI Contact Forename]],".",Table1[[#This Row],[Lead UKGI Contact Surname]],"@ukgi.org.uk")</f>
        <v>.@ukgi.org.uk</v>
      </c>
    </row>
    <row r="377" spans="1:11" ht="38.25" hidden="1" x14ac:dyDescent="0.2">
      <c r="A377" s="4" t="s">
        <v>1117</v>
      </c>
      <c r="B377" s="4" t="s">
        <v>609</v>
      </c>
      <c r="C377" s="4"/>
      <c r="D377" s="4" t="s">
        <v>45</v>
      </c>
      <c r="E377" s="2" t="s">
        <v>613</v>
      </c>
      <c r="F377" s="2" t="s">
        <v>1115</v>
      </c>
      <c r="G377" s="2" t="s">
        <v>1054</v>
      </c>
      <c r="H377" s="2" t="s">
        <v>1116</v>
      </c>
      <c r="K377" s="5" t="str">
        <f>CONCATENATE(Table1[[#This Row],[Lead UKGI Contact Forename]],".",Table1[[#This Row],[Lead UKGI Contact Surname]],"@ukgi.org.uk")</f>
        <v>.@ukgi.org.uk</v>
      </c>
    </row>
    <row r="378" spans="1:11" ht="38.25" hidden="1" x14ac:dyDescent="0.2">
      <c r="A378" s="4" t="s">
        <v>1118</v>
      </c>
      <c r="B378" s="4" t="s">
        <v>1119</v>
      </c>
      <c r="C378" s="4"/>
      <c r="D378" s="4" t="s">
        <v>37</v>
      </c>
      <c r="E378" s="2" t="s">
        <v>150</v>
      </c>
      <c r="F378" s="2" t="s">
        <v>1115</v>
      </c>
      <c r="G378" s="2" t="s">
        <v>1054</v>
      </c>
      <c r="H378" s="2" t="s">
        <v>1120</v>
      </c>
      <c r="K378" s="5" t="str">
        <f>CONCATENATE(Table1[[#This Row],[Lead UKGI Contact Forename]],".",Table1[[#This Row],[Lead UKGI Contact Surname]],"@ukgi.org.uk")</f>
        <v>.@ukgi.org.uk</v>
      </c>
    </row>
    <row r="379" spans="1:11" ht="38.25" hidden="1" x14ac:dyDescent="0.2">
      <c r="A379" s="4" t="s">
        <v>1121</v>
      </c>
      <c r="B379" s="4" t="s">
        <v>839</v>
      </c>
      <c r="C379" s="4"/>
      <c r="D379" s="4" t="s">
        <v>37</v>
      </c>
      <c r="E379" s="2" t="s">
        <v>252</v>
      </c>
      <c r="F379" s="2" t="s">
        <v>1115</v>
      </c>
      <c r="G379" s="2" t="s">
        <v>1054</v>
      </c>
      <c r="H379" s="2" t="s">
        <v>1120</v>
      </c>
      <c r="K379" s="5" t="str">
        <f>CONCATENATE(Table1[[#This Row],[Lead UKGI Contact Forename]],".",Table1[[#This Row],[Lead UKGI Contact Surname]],"@ukgi.org.uk")</f>
        <v>.@ukgi.org.uk</v>
      </c>
    </row>
    <row r="380" spans="1:11" ht="38.25" hidden="1" x14ac:dyDescent="0.2">
      <c r="A380" s="4" t="s">
        <v>1122</v>
      </c>
      <c r="B380" s="4" t="s">
        <v>646</v>
      </c>
      <c r="C380" s="4"/>
      <c r="D380" s="4" t="s">
        <v>37</v>
      </c>
      <c r="E380" s="2" t="s">
        <v>1123</v>
      </c>
      <c r="F380" s="2" t="s">
        <v>1115</v>
      </c>
      <c r="G380" s="2" t="s">
        <v>1054</v>
      </c>
      <c r="H380" s="2" t="s">
        <v>1120</v>
      </c>
      <c r="K380" s="5" t="str">
        <f>CONCATENATE(Table1[[#This Row],[Lead UKGI Contact Forename]],".",Table1[[#This Row],[Lead UKGI Contact Surname]],"@ukgi.org.uk")</f>
        <v>.@ukgi.org.uk</v>
      </c>
    </row>
    <row r="381" spans="1:11" ht="38.25" hidden="1" x14ac:dyDescent="0.2">
      <c r="A381" s="4" t="s">
        <v>1124</v>
      </c>
      <c r="B381" s="4" t="s">
        <v>429</v>
      </c>
      <c r="C381" s="4"/>
      <c r="D381" s="4" t="s">
        <v>37</v>
      </c>
      <c r="E381" s="2" t="s">
        <v>1125</v>
      </c>
      <c r="F381" s="2" t="s">
        <v>1115</v>
      </c>
      <c r="G381" s="2" t="s">
        <v>1054</v>
      </c>
      <c r="H381" s="2" t="s">
        <v>1120</v>
      </c>
      <c r="K381" s="5" t="str">
        <f>CONCATENATE(Table1[[#This Row],[Lead UKGI Contact Forename]],".",Table1[[#This Row],[Lead UKGI Contact Surname]],"@ukgi.org.uk")</f>
        <v>.@ukgi.org.uk</v>
      </c>
    </row>
    <row r="382" spans="1:11" ht="38.25" hidden="1" x14ac:dyDescent="0.2">
      <c r="A382" s="4" t="s">
        <v>1126</v>
      </c>
      <c r="B382" s="4" t="s">
        <v>692</v>
      </c>
      <c r="C382" s="4"/>
      <c r="D382" s="4" t="s">
        <v>45</v>
      </c>
      <c r="E382" s="2" t="s">
        <v>1127</v>
      </c>
      <c r="F382" s="2" t="s">
        <v>1128</v>
      </c>
      <c r="G382" s="2" t="s">
        <v>1054</v>
      </c>
      <c r="H382" s="2" t="s">
        <v>1120</v>
      </c>
      <c r="K382" s="5" t="str">
        <f>CONCATENATE(Table1[[#This Row],[Lead UKGI Contact Forename]],".",Table1[[#This Row],[Lead UKGI Contact Surname]],"@ukgi.org.uk")</f>
        <v>.@ukgi.org.uk</v>
      </c>
    </row>
    <row r="383" spans="1:11" ht="38.25" hidden="1" x14ac:dyDescent="0.2">
      <c r="A383" s="4" t="s">
        <v>1129</v>
      </c>
      <c r="B383" s="4" t="s">
        <v>300</v>
      </c>
      <c r="C383" s="4"/>
      <c r="D383" s="4" t="s">
        <v>45</v>
      </c>
      <c r="E383" s="2" t="s">
        <v>666</v>
      </c>
      <c r="F383" s="2" t="s">
        <v>1115</v>
      </c>
      <c r="G383" s="2" t="s">
        <v>1054</v>
      </c>
      <c r="H383" s="2" t="s">
        <v>1120</v>
      </c>
      <c r="K383" s="5" t="str">
        <f>CONCATENATE(Table1[[#This Row],[Lead UKGI Contact Forename]],".",Table1[[#This Row],[Lead UKGI Contact Surname]],"@ukgi.org.uk")</f>
        <v>.@ukgi.org.uk</v>
      </c>
    </row>
    <row r="384" spans="1:11" ht="38.25" hidden="1" x14ac:dyDescent="0.2">
      <c r="A384" s="4" t="s">
        <v>1130</v>
      </c>
      <c r="B384" s="4" t="s">
        <v>766</v>
      </c>
      <c r="C384" s="4"/>
      <c r="D384" s="4" t="s">
        <v>45</v>
      </c>
      <c r="E384" s="2" t="s">
        <v>1131</v>
      </c>
      <c r="F384" s="2" t="s">
        <v>1115</v>
      </c>
      <c r="G384" s="2" t="s">
        <v>1054</v>
      </c>
      <c r="H384" s="2" t="s">
        <v>1120</v>
      </c>
      <c r="K384" s="5" t="str">
        <f>CONCATENATE(Table1[[#This Row],[Lead UKGI Contact Forename]],".",Table1[[#This Row],[Lead UKGI Contact Surname]],"@ukgi.org.uk")</f>
        <v>.@ukgi.org.uk</v>
      </c>
    </row>
    <row r="385" spans="1:11" ht="38.25" hidden="1" x14ac:dyDescent="0.2">
      <c r="A385" s="4" t="s">
        <v>1132</v>
      </c>
      <c r="B385" s="4" t="s">
        <v>786</v>
      </c>
      <c r="C385" s="4"/>
      <c r="D385" s="4" t="s">
        <v>143</v>
      </c>
      <c r="E385" s="2" t="s">
        <v>1133</v>
      </c>
      <c r="F385" s="2" t="s">
        <v>1134</v>
      </c>
      <c r="G385" s="2" t="s">
        <v>1054</v>
      </c>
      <c r="H385" s="2" t="s">
        <v>1120</v>
      </c>
      <c r="K385" s="5" t="str">
        <f>CONCATENATE(Table1[[#This Row],[Lead UKGI Contact Forename]],".",Table1[[#This Row],[Lead UKGI Contact Surname]],"@ukgi.org.uk")</f>
        <v>.@ukgi.org.uk</v>
      </c>
    </row>
    <row r="386" spans="1:11" ht="38.25" hidden="1" x14ac:dyDescent="0.2">
      <c r="A386" s="4" t="s">
        <v>1135</v>
      </c>
      <c r="B386" s="4" t="s">
        <v>1136</v>
      </c>
      <c r="C386" s="4"/>
      <c r="D386" s="4" t="s">
        <v>622</v>
      </c>
      <c r="E386" s="2" t="s">
        <v>1137</v>
      </c>
      <c r="F386" s="2" t="s">
        <v>1138</v>
      </c>
      <c r="G386" s="2" t="s">
        <v>1054</v>
      </c>
      <c r="H386" s="2" t="s">
        <v>1120</v>
      </c>
      <c r="K386" s="5" t="str">
        <f>CONCATENATE(Table1[[#This Row],[Lead UKGI Contact Forename]],".",Table1[[#This Row],[Lead UKGI Contact Surname]],"@ukgi.org.uk")</f>
        <v>.@ukgi.org.uk</v>
      </c>
    </row>
    <row r="387" spans="1:11" ht="38.25" hidden="1" x14ac:dyDescent="0.2">
      <c r="A387" s="4" t="s">
        <v>1139</v>
      </c>
      <c r="B387" s="4" t="s">
        <v>103</v>
      </c>
      <c r="C387" s="4"/>
      <c r="D387" s="4" t="s">
        <v>622</v>
      </c>
      <c r="E387" s="2" t="s">
        <v>622</v>
      </c>
      <c r="F387" s="2" t="s">
        <v>1138</v>
      </c>
      <c r="G387" s="2" t="s">
        <v>1054</v>
      </c>
      <c r="H387" s="2" t="s">
        <v>1120</v>
      </c>
      <c r="K387" s="5" t="str">
        <f>CONCATENATE(Table1[[#This Row],[Lead UKGI Contact Forename]],".",Table1[[#This Row],[Lead UKGI Contact Surname]],"@ukgi.org.uk")</f>
        <v>.@ukgi.org.uk</v>
      </c>
    </row>
    <row r="388" spans="1:11" ht="38.25" hidden="1" x14ac:dyDescent="0.2">
      <c r="A388" s="4" t="s">
        <v>1140</v>
      </c>
      <c r="B388" s="4" t="s">
        <v>152</v>
      </c>
      <c r="C388" s="4"/>
      <c r="D388" s="4" t="s">
        <v>622</v>
      </c>
      <c r="E388" s="2" t="s">
        <v>622</v>
      </c>
      <c r="F388" s="2" t="s">
        <v>1138</v>
      </c>
      <c r="G388" s="2" t="s">
        <v>1054</v>
      </c>
      <c r="H388" s="2" t="s">
        <v>1120</v>
      </c>
      <c r="K388" s="5" t="str">
        <f>CONCATENATE(Table1[[#This Row],[Lead UKGI Contact Forename]],".",Table1[[#This Row],[Lead UKGI Contact Surname]],"@ukgi.org.uk")</f>
        <v>.@ukgi.org.uk</v>
      </c>
    </row>
    <row r="389" spans="1:11" ht="38.25" hidden="1" x14ac:dyDescent="0.2">
      <c r="A389" s="4" t="s">
        <v>1141</v>
      </c>
      <c r="B389" s="4" t="s">
        <v>1142</v>
      </c>
      <c r="C389" s="4"/>
      <c r="D389" s="4" t="s">
        <v>622</v>
      </c>
      <c r="E389" s="2" t="s">
        <v>622</v>
      </c>
      <c r="F389" s="2" t="s">
        <v>1138</v>
      </c>
      <c r="G389" s="2" t="s">
        <v>1054</v>
      </c>
      <c r="H389" s="2" t="s">
        <v>1120</v>
      </c>
      <c r="K389" s="5" t="str">
        <f>CONCATENATE(Table1[[#This Row],[Lead UKGI Contact Forename]],".",Table1[[#This Row],[Lead UKGI Contact Surname]],"@ukgi.org.uk")</f>
        <v>.@ukgi.org.uk</v>
      </c>
    </row>
    <row r="390" spans="1:11" ht="38.25" hidden="1" x14ac:dyDescent="0.2">
      <c r="A390" s="4" t="s">
        <v>1143</v>
      </c>
      <c r="B390" s="4" t="s">
        <v>875</v>
      </c>
      <c r="C390" s="4"/>
      <c r="D390" s="4" t="s">
        <v>37</v>
      </c>
      <c r="E390" s="2" t="s">
        <v>1144</v>
      </c>
      <c r="F390" s="2" t="s">
        <v>1115</v>
      </c>
      <c r="G390" s="2" t="s">
        <v>1054</v>
      </c>
      <c r="H390" s="2" t="s">
        <v>1145</v>
      </c>
      <c r="K390" s="5" t="str">
        <f>CONCATENATE(Table1[[#This Row],[Lead UKGI Contact Forename]],".",Table1[[#This Row],[Lead UKGI Contact Surname]],"@ukgi.org.uk")</f>
        <v>.@ukgi.org.uk</v>
      </c>
    </row>
    <row r="391" spans="1:11" ht="38.25" hidden="1" x14ac:dyDescent="0.2">
      <c r="A391" s="4" t="s">
        <v>1146</v>
      </c>
      <c r="B391" s="4" t="s">
        <v>483</v>
      </c>
      <c r="C391" s="4"/>
      <c r="D391" s="4" t="s">
        <v>37</v>
      </c>
      <c r="E391" s="2" t="s">
        <v>1147</v>
      </c>
      <c r="F391" s="2" t="s">
        <v>1115</v>
      </c>
      <c r="G391" s="2" t="s">
        <v>1054</v>
      </c>
      <c r="H391" s="2" t="s">
        <v>1145</v>
      </c>
      <c r="K391" s="5" t="str">
        <f>CONCATENATE(Table1[[#This Row],[Lead UKGI Contact Forename]],".",Table1[[#This Row],[Lead UKGI Contact Surname]],"@ukgi.org.uk")</f>
        <v>.@ukgi.org.uk</v>
      </c>
    </row>
    <row r="392" spans="1:11" ht="38.25" hidden="1" x14ac:dyDescent="0.2">
      <c r="A392" s="4" t="s">
        <v>1106</v>
      </c>
      <c r="B392" s="4" t="s">
        <v>646</v>
      </c>
      <c r="C392" s="4"/>
      <c r="D392" s="4" t="s">
        <v>37</v>
      </c>
      <c r="E392" s="2" t="s">
        <v>1148</v>
      </c>
      <c r="F392" s="2" t="s">
        <v>1115</v>
      </c>
      <c r="G392" s="2" t="s">
        <v>1054</v>
      </c>
      <c r="H392" s="2" t="s">
        <v>1145</v>
      </c>
      <c r="K392" s="5" t="str">
        <f>CONCATENATE(Table1[[#This Row],[Lead UKGI Contact Forename]],".",Table1[[#This Row],[Lead UKGI Contact Surname]],"@ukgi.org.uk")</f>
        <v>.@ukgi.org.uk</v>
      </c>
    </row>
    <row r="393" spans="1:11" ht="38.25" hidden="1" x14ac:dyDescent="0.2">
      <c r="A393" s="4" t="s">
        <v>1149</v>
      </c>
      <c r="B393" s="4" t="s">
        <v>1150</v>
      </c>
      <c r="C393" s="4"/>
      <c r="D393" s="4" t="s">
        <v>37</v>
      </c>
      <c r="E393" s="2" t="s">
        <v>437</v>
      </c>
      <c r="F393" s="2" t="s">
        <v>1115</v>
      </c>
      <c r="G393" s="2" t="s">
        <v>1054</v>
      </c>
      <c r="H393" s="2" t="s">
        <v>1145</v>
      </c>
      <c r="K393" s="5" t="str">
        <f>CONCATENATE(Table1[[#This Row],[Lead UKGI Contact Forename]],".",Table1[[#This Row],[Lead UKGI Contact Surname]],"@ukgi.org.uk")</f>
        <v>.@ukgi.org.uk</v>
      </c>
    </row>
    <row r="394" spans="1:11" ht="38.25" hidden="1" x14ac:dyDescent="0.2">
      <c r="A394" s="4" t="s">
        <v>436</v>
      </c>
      <c r="B394" s="4" t="s">
        <v>165</v>
      </c>
      <c r="C394" s="4"/>
      <c r="D394" s="4" t="s">
        <v>37</v>
      </c>
      <c r="E394" s="2" t="s">
        <v>1151</v>
      </c>
      <c r="F394" s="2" t="s">
        <v>1152</v>
      </c>
      <c r="G394" s="2" t="s">
        <v>1054</v>
      </c>
      <c r="H394" s="2" t="s">
        <v>1145</v>
      </c>
      <c r="K394" s="5" t="str">
        <f>CONCATENATE(Table1[[#This Row],[Lead UKGI Contact Forename]],".",Table1[[#This Row],[Lead UKGI Contact Surname]],"@ukgi.org.uk")</f>
        <v>.@ukgi.org.uk</v>
      </c>
    </row>
    <row r="395" spans="1:11" ht="38.25" hidden="1" x14ac:dyDescent="0.2">
      <c r="A395" s="4" t="s">
        <v>697</v>
      </c>
      <c r="B395" s="4" t="s">
        <v>1153</v>
      </c>
      <c r="C395" s="4"/>
      <c r="D395" s="4" t="s">
        <v>45</v>
      </c>
      <c r="E395" s="2" t="s">
        <v>1154</v>
      </c>
      <c r="F395" s="2" t="s">
        <v>1155</v>
      </c>
      <c r="G395" s="2" t="s">
        <v>1054</v>
      </c>
      <c r="H395" s="2" t="s">
        <v>1145</v>
      </c>
      <c r="K395" s="5" t="str">
        <f>CONCATENATE(Table1[[#This Row],[Lead UKGI Contact Forename]],".",Table1[[#This Row],[Lead UKGI Contact Surname]],"@ukgi.org.uk")</f>
        <v>.@ukgi.org.uk</v>
      </c>
    </row>
    <row r="396" spans="1:11" ht="38.25" hidden="1" x14ac:dyDescent="0.2">
      <c r="A396" s="4" t="s">
        <v>1156</v>
      </c>
      <c r="B396" s="4" t="s">
        <v>197</v>
      </c>
      <c r="C396" s="4"/>
      <c r="D396" s="4" t="s">
        <v>37</v>
      </c>
      <c r="E396" s="2" t="s">
        <v>1157</v>
      </c>
      <c r="F396" s="2" t="s">
        <v>1115</v>
      </c>
      <c r="G396" s="2" t="s">
        <v>1054</v>
      </c>
      <c r="H396" s="2" t="s">
        <v>1145</v>
      </c>
      <c r="K396" s="5" t="str">
        <f>CONCATENATE(Table1[[#This Row],[Lead UKGI Contact Forename]],".",Table1[[#This Row],[Lead UKGI Contact Surname]],"@ukgi.org.uk")</f>
        <v>.@ukgi.org.uk</v>
      </c>
    </row>
    <row r="397" spans="1:11" ht="38.25" hidden="1" x14ac:dyDescent="0.2">
      <c r="A397" s="4" t="s">
        <v>1158</v>
      </c>
      <c r="B397" s="4" t="s">
        <v>265</v>
      </c>
      <c r="C397" s="4"/>
      <c r="D397" s="4" t="s">
        <v>37</v>
      </c>
      <c r="E397" s="2" t="s">
        <v>1159</v>
      </c>
      <c r="F397" s="2" t="s">
        <v>1115</v>
      </c>
      <c r="G397" s="2" t="s">
        <v>1054</v>
      </c>
      <c r="H397" s="2" t="s">
        <v>1145</v>
      </c>
      <c r="K397" s="5" t="str">
        <f>CONCATENATE(Table1[[#This Row],[Lead UKGI Contact Forename]],".",Table1[[#This Row],[Lead UKGI Contact Surname]],"@ukgi.org.uk")</f>
        <v>.@ukgi.org.uk</v>
      </c>
    </row>
    <row r="398" spans="1:11" ht="38.25" hidden="1" x14ac:dyDescent="0.2">
      <c r="A398" s="4" t="s">
        <v>1160</v>
      </c>
      <c r="B398" s="4" t="s">
        <v>382</v>
      </c>
      <c r="C398" s="4"/>
      <c r="D398" s="4" t="s">
        <v>45</v>
      </c>
      <c r="E398" s="2" t="s">
        <v>1161</v>
      </c>
      <c r="F398" s="2" t="s">
        <v>1162</v>
      </c>
      <c r="G398" s="2" t="s">
        <v>1054</v>
      </c>
      <c r="H398" s="2" t="s">
        <v>1145</v>
      </c>
      <c r="K398" s="5" t="str">
        <f>CONCATENATE(Table1[[#This Row],[Lead UKGI Contact Forename]],".",Table1[[#This Row],[Lead UKGI Contact Surname]],"@ukgi.org.uk")</f>
        <v>.@ukgi.org.uk</v>
      </c>
    </row>
    <row r="399" spans="1:11" ht="38.25" hidden="1" x14ac:dyDescent="0.2">
      <c r="A399" s="4" t="s">
        <v>1163</v>
      </c>
      <c r="B399" s="4" t="s">
        <v>621</v>
      </c>
      <c r="C399" s="4"/>
      <c r="D399" s="4" t="s">
        <v>37</v>
      </c>
      <c r="E399" s="2" t="s">
        <v>1164</v>
      </c>
      <c r="F399" s="2" t="s">
        <v>1115</v>
      </c>
      <c r="G399" s="2" t="s">
        <v>1054</v>
      </c>
      <c r="H399" s="2" t="s">
        <v>1145</v>
      </c>
      <c r="K399" s="5" t="str">
        <f>CONCATENATE(Table1[[#This Row],[Lead UKGI Contact Forename]],".",Table1[[#This Row],[Lead UKGI Contact Surname]],"@ukgi.org.uk")</f>
        <v>.@ukgi.org.uk</v>
      </c>
    </row>
    <row r="400" spans="1:11" ht="38.25" hidden="1" x14ac:dyDescent="0.2">
      <c r="A400" s="4" t="s">
        <v>697</v>
      </c>
      <c r="B400" s="4" t="s">
        <v>459</v>
      </c>
      <c r="C400" s="4"/>
      <c r="D400" s="4" t="s">
        <v>45</v>
      </c>
      <c r="E400" s="2" t="s">
        <v>1165</v>
      </c>
      <c r="F400" s="2" t="s">
        <v>1166</v>
      </c>
      <c r="G400" s="2" t="s">
        <v>1054</v>
      </c>
      <c r="H400" s="2" t="s">
        <v>1145</v>
      </c>
      <c r="K400" s="5" t="str">
        <f>CONCATENATE(Table1[[#This Row],[Lead UKGI Contact Forename]],".",Table1[[#This Row],[Lead UKGI Contact Surname]],"@ukgi.org.uk")</f>
        <v>.@ukgi.org.uk</v>
      </c>
    </row>
    <row r="401" spans="1:11" ht="38.25" hidden="1" x14ac:dyDescent="0.2">
      <c r="A401" s="4" t="s">
        <v>1167</v>
      </c>
      <c r="B401" s="4" t="s">
        <v>265</v>
      </c>
      <c r="C401" s="4"/>
      <c r="D401" s="4" t="s">
        <v>45</v>
      </c>
      <c r="E401" s="2" t="s">
        <v>1168</v>
      </c>
      <c r="F401" s="2" t="s">
        <v>1169</v>
      </c>
      <c r="G401" s="2" t="s">
        <v>1054</v>
      </c>
      <c r="H401" s="2" t="s">
        <v>1145</v>
      </c>
      <c r="K401" s="5" t="str">
        <f>CONCATENATE(Table1[[#This Row],[Lead UKGI Contact Forename]],".",Table1[[#This Row],[Lead UKGI Contact Surname]],"@ukgi.org.uk")</f>
        <v>.@ukgi.org.uk</v>
      </c>
    </row>
    <row r="402" spans="1:11" ht="38.25" hidden="1" x14ac:dyDescent="0.2">
      <c r="A402" s="4" t="s">
        <v>1170</v>
      </c>
      <c r="B402" s="4" t="s">
        <v>429</v>
      </c>
      <c r="C402" s="4"/>
      <c r="D402" s="4" t="s">
        <v>45</v>
      </c>
      <c r="E402" s="2" t="s">
        <v>1171</v>
      </c>
      <c r="F402" s="2" t="s">
        <v>1172</v>
      </c>
      <c r="G402" s="2" t="s">
        <v>1054</v>
      </c>
      <c r="H402" s="2" t="s">
        <v>1145</v>
      </c>
      <c r="K402" s="5" t="str">
        <f>CONCATENATE(Table1[[#This Row],[Lead UKGI Contact Forename]],".",Table1[[#This Row],[Lead UKGI Contact Surname]],"@ukgi.org.uk")</f>
        <v>.@ukgi.org.uk</v>
      </c>
    </row>
    <row r="403" spans="1:11" ht="38.25" hidden="1" x14ac:dyDescent="0.2">
      <c r="A403" s="4" t="s">
        <v>1173</v>
      </c>
      <c r="B403" s="4" t="s">
        <v>1174</v>
      </c>
      <c r="C403" s="4"/>
      <c r="D403" s="4" t="s">
        <v>37</v>
      </c>
      <c r="E403" s="2" t="s">
        <v>1175</v>
      </c>
      <c r="F403" s="2" t="s">
        <v>1115</v>
      </c>
      <c r="G403" s="2" t="s">
        <v>1054</v>
      </c>
      <c r="H403" s="2" t="s">
        <v>1145</v>
      </c>
      <c r="K403" s="5" t="str">
        <f>CONCATENATE(Table1[[#This Row],[Lead UKGI Contact Forename]],".",Table1[[#This Row],[Lead UKGI Contact Surname]],"@ukgi.org.uk")</f>
        <v>.@ukgi.org.uk</v>
      </c>
    </row>
    <row r="404" spans="1:11" ht="38.25" hidden="1" x14ac:dyDescent="0.2">
      <c r="A404" s="4" t="s">
        <v>1176</v>
      </c>
      <c r="B404" s="4" t="s">
        <v>1177</v>
      </c>
      <c r="C404" s="4"/>
      <c r="D404" s="4" t="s">
        <v>45</v>
      </c>
      <c r="E404" s="2" t="s">
        <v>774</v>
      </c>
      <c r="F404" s="2" t="s">
        <v>1128</v>
      </c>
      <c r="G404" s="2" t="s">
        <v>1054</v>
      </c>
      <c r="H404" s="2" t="s">
        <v>1145</v>
      </c>
      <c r="K404" s="5" t="str">
        <f>CONCATENATE(Table1[[#This Row],[Lead UKGI Contact Forename]],".",Table1[[#This Row],[Lead UKGI Contact Surname]],"@ukgi.org.uk")</f>
        <v>.@ukgi.org.uk</v>
      </c>
    </row>
    <row r="405" spans="1:11" ht="38.25" hidden="1" x14ac:dyDescent="0.2">
      <c r="A405" s="4" t="s">
        <v>371</v>
      </c>
      <c r="B405" s="4" t="s">
        <v>387</v>
      </c>
      <c r="C405" s="4"/>
      <c r="D405" s="4" t="s">
        <v>45</v>
      </c>
      <c r="E405" s="2" t="s">
        <v>1178</v>
      </c>
      <c r="F405" s="2" t="s">
        <v>1179</v>
      </c>
      <c r="G405" s="2" t="s">
        <v>1054</v>
      </c>
      <c r="H405" s="2" t="s">
        <v>1145</v>
      </c>
      <c r="K405" s="5" t="str">
        <f>CONCATENATE(Table1[[#This Row],[Lead UKGI Contact Forename]],".",Table1[[#This Row],[Lead UKGI Contact Surname]],"@ukgi.org.uk")</f>
        <v>.@ukgi.org.uk</v>
      </c>
    </row>
    <row r="406" spans="1:11" ht="38.25" hidden="1" x14ac:dyDescent="0.2">
      <c r="A406" s="4" t="s">
        <v>1180</v>
      </c>
      <c r="B406" s="4" t="s">
        <v>449</v>
      </c>
      <c r="C406" s="4"/>
      <c r="D406" s="4" t="s">
        <v>37</v>
      </c>
      <c r="E406" s="2" t="s">
        <v>1181</v>
      </c>
      <c r="F406" s="2" t="s">
        <v>1115</v>
      </c>
      <c r="G406" s="2" t="s">
        <v>1054</v>
      </c>
      <c r="H406" s="2" t="s">
        <v>1145</v>
      </c>
      <c r="K406" s="5" t="str">
        <f>CONCATENATE(Table1[[#This Row],[Lead UKGI Contact Forename]],".",Table1[[#This Row],[Lead UKGI Contact Surname]],"@ukgi.org.uk")</f>
        <v>.@ukgi.org.uk</v>
      </c>
    </row>
    <row r="407" spans="1:11" ht="38.25" x14ac:dyDescent="0.2">
      <c r="A407" s="4" t="s">
        <v>1182</v>
      </c>
      <c r="B407" s="4" t="s">
        <v>265</v>
      </c>
      <c r="C407" s="4"/>
      <c r="D407" s="4" t="s">
        <v>148</v>
      </c>
      <c r="E407" s="2" t="s">
        <v>149</v>
      </c>
      <c r="F407" s="2" t="s">
        <v>1115</v>
      </c>
      <c r="G407" s="2" t="s">
        <v>1054</v>
      </c>
      <c r="H407" s="2" t="s">
        <v>1145</v>
      </c>
      <c r="K407" s="5" t="str">
        <f>CONCATENATE(Table1[[#This Row],[Lead UKGI Contact Forename]],".",Table1[[#This Row],[Lead UKGI Contact Surname]],"@ukgi.org.uk")</f>
        <v>.@ukgi.org.uk</v>
      </c>
    </row>
    <row r="408" spans="1:11" ht="38.25" hidden="1" x14ac:dyDescent="0.2">
      <c r="A408" s="4" t="s">
        <v>1183</v>
      </c>
      <c r="B408" s="4" t="s">
        <v>1184</v>
      </c>
      <c r="C408" s="4"/>
      <c r="D408" s="4" t="s">
        <v>143</v>
      </c>
      <c r="E408" s="2" t="s">
        <v>1133</v>
      </c>
      <c r="F408" s="2" t="s">
        <v>1134</v>
      </c>
      <c r="G408" s="2" t="s">
        <v>1054</v>
      </c>
      <c r="H408" s="2" t="s">
        <v>1145</v>
      </c>
      <c r="K408" s="5" t="str">
        <f>CONCATENATE(Table1[[#This Row],[Lead UKGI Contact Forename]],".",Table1[[#This Row],[Lead UKGI Contact Surname]],"@ukgi.org.uk")</f>
        <v>.@ukgi.org.uk</v>
      </c>
    </row>
    <row r="409" spans="1:11" ht="38.25" hidden="1" x14ac:dyDescent="0.2">
      <c r="A409" s="4" t="s">
        <v>1185</v>
      </c>
      <c r="B409" s="4" t="s">
        <v>1186</v>
      </c>
      <c r="C409" s="4"/>
      <c r="D409" s="4" t="s">
        <v>622</v>
      </c>
      <c r="E409" s="2" t="s">
        <v>622</v>
      </c>
      <c r="F409" s="2" t="s">
        <v>1138</v>
      </c>
      <c r="G409" s="2" t="s">
        <v>1054</v>
      </c>
      <c r="H409" s="2" t="s">
        <v>1145</v>
      </c>
      <c r="K409" s="5" t="str">
        <f>CONCATENATE(Table1[[#This Row],[Lead UKGI Contact Forename]],".",Table1[[#This Row],[Lead UKGI Contact Surname]],"@ukgi.org.uk")</f>
        <v>.@ukgi.org.uk</v>
      </c>
    </row>
    <row r="410" spans="1:11" ht="38.25" hidden="1" x14ac:dyDescent="0.2">
      <c r="A410" s="4" t="s">
        <v>1187</v>
      </c>
      <c r="B410" s="4" t="s">
        <v>1188</v>
      </c>
      <c r="C410" s="4"/>
      <c r="D410" s="4" t="s">
        <v>622</v>
      </c>
      <c r="E410" s="2" t="s">
        <v>622</v>
      </c>
      <c r="F410" s="2" t="s">
        <v>1138</v>
      </c>
      <c r="G410" s="2" t="s">
        <v>1054</v>
      </c>
      <c r="H410" s="2" t="s">
        <v>1145</v>
      </c>
      <c r="K410" s="5" t="str">
        <f>CONCATENATE(Table1[[#This Row],[Lead UKGI Contact Forename]],".",Table1[[#This Row],[Lead UKGI Contact Surname]],"@ukgi.org.uk")</f>
        <v>.@ukgi.org.uk</v>
      </c>
    </row>
    <row r="411" spans="1:11" ht="38.25" hidden="1" x14ac:dyDescent="0.2">
      <c r="A411" s="4" t="s">
        <v>1189</v>
      </c>
      <c r="B411" s="4" t="s">
        <v>1190</v>
      </c>
      <c r="C411" s="4"/>
      <c r="D411" s="4" t="s">
        <v>622</v>
      </c>
      <c r="E411" s="2" t="s">
        <v>622</v>
      </c>
      <c r="F411" s="2" t="s">
        <v>1138</v>
      </c>
      <c r="G411" s="2" t="s">
        <v>1054</v>
      </c>
      <c r="H411" s="2" t="s">
        <v>1145</v>
      </c>
      <c r="K411" s="5" t="str">
        <f>CONCATENATE(Table1[[#This Row],[Lead UKGI Contact Forename]],".",Table1[[#This Row],[Lead UKGI Contact Surname]],"@ukgi.org.uk")</f>
        <v>.@ukgi.org.uk</v>
      </c>
    </row>
    <row r="412" spans="1:11" ht="38.25" hidden="1" x14ac:dyDescent="0.2">
      <c r="A412" s="4" t="s">
        <v>1191</v>
      </c>
      <c r="B412" s="4" t="s">
        <v>130</v>
      </c>
      <c r="C412" s="4"/>
      <c r="D412" s="4" t="s">
        <v>622</v>
      </c>
      <c r="E412" s="2" t="s">
        <v>622</v>
      </c>
      <c r="F412" s="2" t="s">
        <v>1138</v>
      </c>
      <c r="G412" s="2" t="s">
        <v>1054</v>
      </c>
      <c r="H412" s="2" t="s">
        <v>1145</v>
      </c>
      <c r="K412" s="5" t="str">
        <f>CONCATENATE(Table1[[#This Row],[Lead UKGI Contact Forename]],".",Table1[[#This Row],[Lead UKGI Contact Surname]],"@ukgi.org.uk")</f>
        <v>.@ukgi.org.uk</v>
      </c>
    </row>
    <row r="413" spans="1:11" ht="38.25" hidden="1" x14ac:dyDescent="0.2">
      <c r="A413" s="4" t="s">
        <v>706</v>
      </c>
      <c r="B413" s="4" t="s">
        <v>707</v>
      </c>
      <c r="C413" s="4"/>
      <c r="D413" s="4" t="s">
        <v>622</v>
      </c>
      <c r="E413" s="2" t="s">
        <v>622</v>
      </c>
      <c r="F413" s="2" t="s">
        <v>1138</v>
      </c>
      <c r="G413" s="2" t="s">
        <v>1054</v>
      </c>
      <c r="H413" s="2" t="s">
        <v>1145</v>
      </c>
      <c r="K413" s="5" t="str">
        <f>CONCATENATE(Table1[[#This Row],[Lead UKGI Contact Forename]],".",Table1[[#This Row],[Lead UKGI Contact Surname]],"@ukgi.org.uk")</f>
        <v>.@ukgi.org.uk</v>
      </c>
    </row>
    <row r="414" spans="1:11" ht="38.25" hidden="1" x14ac:dyDescent="0.2">
      <c r="A414" s="4" t="s">
        <v>1192</v>
      </c>
      <c r="B414" s="4" t="s">
        <v>135</v>
      </c>
      <c r="C414" s="4"/>
      <c r="D414" s="4" t="s">
        <v>622</v>
      </c>
      <c r="E414" s="2" t="s">
        <v>622</v>
      </c>
      <c r="F414" s="2" t="s">
        <v>1138</v>
      </c>
      <c r="G414" s="2" t="s">
        <v>1054</v>
      </c>
      <c r="H414" s="2" t="s">
        <v>1145</v>
      </c>
      <c r="K414" s="5" t="str">
        <f>CONCATENATE(Table1[[#This Row],[Lead UKGI Contact Forename]],".",Table1[[#This Row],[Lead UKGI Contact Surname]],"@ukgi.org.uk")</f>
        <v>.@ukgi.org.uk</v>
      </c>
    </row>
    <row r="415" spans="1:11" ht="38.25" hidden="1" x14ac:dyDescent="0.2">
      <c r="A415" s="4" t="s">
        <v>1193</v>
      </c>
      <c r="B415" s="4" t="s">
        <v>1194</v>
      </c>
      <c r="C415" s="4"/>
      <c r="D415" s="4" t="s">
        <v>37</v>
      </c>
      <c r="E415" s="2" t="s">
        <v>1195</v>
      </c>
      <c r="F415" s="2" t="s">
        <v>1115</v>
      </c>
      <c r="G415" s="2" t="s">
        <v>1054</v>
      </c>
      <c r="H415" s="2" t="s">
        <v>1196</v>
      </c>
      <c r="K415" s="5" t="str">
        <f>CONCATENATE(Table1[[#This Row],[Lead UKGI Contact Forename]],".",Table1[[#This Row],[Lead UKGI Contact Surname]],"@ukgi.org.uk")</f>
        <v>.@ukgi.org.uk</v>
      </c>
    </row>
    <row r="416" spans="1:11" ht="38.25" hidden="1" x14ac:dyDescent="0.2">
      <c r="A416" s="4" t="s">
        <v>1197</v>
      </c>
      <c r="B416" s="4" t="s">
        <v>135</v>
      </c>
      <c r="C416" s="4"/>
      <c r="D416" s="4" t="s">
        <v>45</v>
      </c>
      <c r="E416" s="2" t="s">
        <v>1198</v>
      </c>
      <c r="F416" s="2" t="s">
        <v>1115</v>
      </c>
      <c r="G416" s="2" t="s">
        <v>1054</v>
      </c>
      <c r="H416" s="2" t="s">
        <v>1196</v>
      </c>
      <c r="K416" s="5" t="str">
        <f>CONCATENATE(Table1[[#This Row],[Lead UKGI Contact Forename]],".",Table1[[#This Row],[Lead UKGI Contact Surname]],"@ukgi.org.uk")</f>
        <v>.@ukgi.org.uk</v>
      </c>
    </row>
    <row r="417" spans="1:11" ht="38.25" hidden="1" x14ac:dyDescent="0.2">
      <c r="A417" s="4" t="s">
        <v>1199</v>
      </c>
      <c r="B417" s="4" t="s">
        <v>1200</v>
      </c>
      <c r="C417" s="4"/>
      <c r="D417" s="4" t="s">
        <v>143</v>
      </c>
      <c r="E417" s="2" t="s">
        <v>1133</v>
      </c>
      <c r="F417" s="2" t="s">
        <v>1134</v>
      </c>
      <c r="G417" s="2" t="s">
        <v>1054</v>
      </c>
      <c r="H417" s="2" t="s">
        <v>1196</v>
      </c>
      <c r="K417" s="5" t="str">
        <f>CONCATENATE(Table1[[#This Row],[Lead UKGI Contact Forename]],".",Table1[[#This Row],[Lead UKGI Contact Surname]],"@ukgi.org.uk")</f>
        <v>.@ukgi.org.uk</v>
      </c>
    </row>
    <row r="418" spans="1:11" ht="38.25" hidden="1" x14ac:dyDescent="0.2">
      <c r="A418" s="4" t="s">
        <v>1201</v>
      </c>
      <c r="B418" s="4" t="s">
        <v>1202</v>
      </c>
      <c r="C418" s="4"/>
      <c r="D418" s="4" t="s">
        <v>622</v>
      </c>
      <c r="E418" s="2" t="s">
        <v>622</v>
      </c>
      <c r="F418" s="2" t="s">
        <v>1138</v>
      </c>
      <c r="G418" s="2" t="s">
        <v>1054</v>
      </c>
      <c r="H418" s="2" t="s">
        <v>1196</v>
      </c>
      <c r="K418" s="5" t="str">
        <f>CONCATENATE(Table1[[#This Row],[Lead UKGI Contact Forename]],".",Table1[[#This Row],[Lead UKGI Contact Surname]],"@ukgi.org.uk")</f>
        <v>.@ukgi.org.uk</v>
      </c>
    </row>
    <row r="419" spans="1:11" ht="38.25" hidden="1" x14ac:dyDescent="0.2">
      <c r="A419" s="4" t="s">
        <v>1203</v>
      </c>
      <c r="B419" s="4" t="s">
        <v>1204</v>
      </c>
      <c r="C419" s="4"/>
      <c r="D419" s="4" t="s">
        <v>37</v>
      </c>
      <c r="E419" s="2" t="s">
        <v>149</v>
      </c>
      <c r="F419" s="2" t="s">
        <v>1115</v>
      </c>
      <c r="G419" s="2" t="s">
        <v>1054</v>
      </c>
      <c r="H419" s="2" t="s">
        <v>1205</v>
      </c>
      <c r="K419" s="5" t="str">
        <f>CONCATENATE(Table1[[#This Row],[Lead UKGI Contact Forename]],".",Table1[[#This Row],[Lead UKGI Contact Surname]],"@ukgi.org.uk")</f>
        <v>.@ukgi.org.uk</v>
      </c>
    </row>
    <row r="420" spans="1:11" ht="38.25" hidden="1" x14ac:dyDescent="0.2">
      <c r="A420" s="4" t="s">
        <v>1206</v>
      </c>
      <c r="B420" s="4" t="s">
        <v>959</v>
      </c>
      <c r="C420" s="4"/>
      <c r="D420" s="4" t="s">
        <v>37</v>
      </c>
      <c r="E420" s="2" t="s">
        <v>1207</v>
      </c>
      <c r="F420" s="2" t="s">
        <v>1115</v>
      </c>
      <c r="G420" s="2" t="s">
        <v>1054</v>
      </c>
      <c r="H420" s="2" t="s">
        <v>1205</v>
      </c>
      <c r="K420" s="5" t="str">
        <f>CONCATENATE(Table1[[#This Row],[Lead UKGI Contact Forename]],".",Table1[[#This Row],[Lead UKGI Contact Surname]],"@ukgi.org.uk")</f>
        <v>.@ukgi.org.uk</v>
      </c>
    </row>
    <row r="421" spans="1:11" ht="38.25" hidden="1" x14ac:dyDescent="0.2">
      <c r="A421" s="4" t="s">
        <v>1208</v>
      </c>
      <c r="B421" s="4" t="s">
        <v>1142</v>
      </c>
      <c r="C421" s="4"/>
      <c r="D421" s="4" t="s">
        <v>45</v>
      </c>
      <c r="E421" s="2" t="s">
        <v>1209</v>
      </c>
      <c r="F421" s="2" t="s">
        <v>1115</v>
      </c>
      <c r="G421" s="2" t="s">
        <v>1054</v>
      </c>
      <c r="H421" s="2" t="s">
        <v>1205</v>
      </c>
      <c r="K421" s="5" t="str">
        <f>CONCATENATE(Table1[[#This Row],[Lead UKGI Contact Forename]],".",Table1[[#This Row],[Lead UKGI Contact Surname]],"@ukgi.org.uk")</f>
        <v>.@ukgi.org.uk</v>
      </c>
    </row>
    <row r="422" spans="1:11" ht="38.25" hidden="1" x14ac:dyDescent="0.2">
      <c r="A422" s="4" t="s">
        <v>1210</v>
      </c>
      <c r="B422" s="4" t="s">
        <v>1211</v>
      </c>
      <c r="C422" s="4"/>
      <c r="D422" s="4" t="s">
        <v>622</v>
      </c>
      <c r="E422" s="2" t="s">
        <v>1133</v>
      </c>
      <c r="F422" s="2" t="s">
        <v>1134</v>
      </c>
      <c r="G422" s="2" t="s">
        <v>1054</v>
      </c>
      <c r="H422" s="2" t="s">
        <v>1205</v>
      </c>
      <c r="K422" s="5" t="str">
        <f>CONCATENATE(Table1[[#This Row],[Lead UKGI Contact Forename]],".",Table1[[#This Row],[Lead UKGI Contact Surname]],"@ukgi.org.uk")</f>
        <v>.@ukgi.org.uk</v>
      </c>
    </row>
    <row r="423" spans="1:11" ht="38.25" hidden="1" x14ac:dyDescent="0.2">
      <c r="A423" s="4" t="s">
        <v>1212</v>
      </c>
      <c r="B423" s="4" t="s">
        <v>142</v>
      </c>
      <c r="C423" s="4"/>
      <c r="D423" s="4" t="s">
        <v>110</v>
      </c>
      <c r="E423" s="2" t="s">
        <v>149</v>
      </c>
      <c r="F423" s="2" t="s">
        <v>1115</v>
      </c>
      <c r="G423" s="2" t="s">
        <v>1054</v>
      </c>
      <c r="H423" s="2" t="s">
        <v>1213</v>
      </c>
      <c r="K423" s="5" t="str">
        <f>CONCATENATE(Table1[[#This Row],[Lead UKGI Contact Forename]],".",Table1[[#This Row],[Lead UKGI Contact Surname]],"@ukgi.org.uk")</f>
        <v>.@ukgi.org.uk</v>
      </c>
    </row>
    <row r="424" spans="1:11" ht="38.25" hidden="1" x14ac:dyDescent="0.2">
      <c r="A424" s="4" t="s">
        <v>1214</v>
      </c>
      <c r="B424" s="4" t="s">
        <v>879</v>
      </c>
      <c r="C424" s="4"/>
      <c r="D424" s="4" t="s">
        <v>37</v>
      </c>
      <c r="E424" s="2" t="s">
        <v>1215</v>
      </c>
      <c r="F424" s="2" t="s">
        <v>1115</v>
      </c>
      <c r="G424" s="2" t="s">
        <v>1054</v>
      </c>
      <c r="H424" s="2" t="s">
        <v>1213</v>
      </c>
      <c r="K424" s="5" t="str">
        <f>CONCATENATE(Table1[[#This Row],[Lead UKGI Contact Forename]],".",Table1[[#This Row],[Lead UKGI Contact Surname]],"@ukgi.org.uk")</f>
        <v>.@ukgi.org.uk</v>
      </c>
    </row>
    <row r="425" spans="1:11" ht="38.25" hidden="1" x14ac:dyDescent="0.2">
      <c r="A425" s="4" t="s">
        <v>1216</v>
      </c>
      <c r="B425" s="4" t="s">
        <v>1217</v>
      </c>
      <c r="C425" s="4"/>
      <c r="D425" s="4" t="s">
        <v>37</v>
      </c>
      <c r="E425" s="2" t="s">
        <v>438</v>
      </c>
      <c r="F425" s="2" t="s">
        <v>1115</v>
      </c>
      <c r="G425" s="2" t="s">
        <v>1054</v>
      </c>
      <c r="H425" s="2" t="s">
        <v>1213</v>
      </c>
      <c r="K425" s="5" t="str">
        <f>CONCATENATE(Table1[[#This Row],[Lead UKGI Contact Forename]],".",Table1[[#This Row],[Lead UKGI Contact Surname]],"@ukgi.org.uk")</f>
        <v>.@ukgi.org.uk</v>
      </c>
    </row>
    <row r="426" spans="1:11" ht="38.25" hidden="1" x14ac:dyDescent="0.2">
      <c r="A426" s="4" t="s">
        <v>1218</v>
      </c>
      <c r="B426" s="4" t="s">
        <v>300</v>
      </c>
      <c r="C426" s="4"/>
      <c r="D426" s="4" t="s">
        <v>37</v>
      </c>
      <c r="E426" s="2" t="s">
        <v>1219</v>
      </c>
      <c r="F426" s="2" t="s">
        <v>1115</v>
      </c>
      <c r="G426" s="2" t="s">
        <v>1054</v>
      </c>
      <c r="H426" s="2" t="s">
        <v>1213</v>
      </c>
      <c r="K426" s="5" t="str">
        <f>CONCATENATE(Table1[[#This Row],[Lead UKGI Contact Forename]],".",Table1[[#This Row],[Lead UKGI Contact Surname]],"@ukgi.org.uk")</f>
        <v>.@ukgi.org.uk</v>
      </c>
    </row>
    <row r="427" spans="1:11" ht="38.25" hidden="1" x14ac:dyDescent="0.2">
      <c r="A427" s="4" t="s">
        <v>1220</v>
      </c>
      <c r="B427" s="4" t="s">
        <v>1221</v>
      </c>
      <c r="C427" s="4"/>
      <c r="D427" s="4" t="s">
        <v>37</v>
      </c>
      <c r="E427" s="2" t="s">
        <v>1125</v>
      </c>
      <c r="F427" s="2" t="s">
        <v>1115</v>
      </c>
      <c r="G427" s="2" t="s">
        <v>1054</v>
      </c>
      <c r="H427" s="2" t="s">
        <v>1213</v>
      </c>
      <c r="K427" s="5" t="str">
        <f>CONCATENATE(Table1[[#This Row],[Lead UKGI Contact Forename]],".",Table1[[#This Row],[Lead UKGI Contact Surname]],"@ukgi.org.uk")</f>
        <v>.@ukgi.org.uk</v>
      </c>
    </row>
    <row r="428" spans="1:11" ht="38.25" hidden="1" x14ac:dyDescent="0.2">
      <c r="A428" s="4" t="s">
        <v>1222</v>
      </c>
      <c r="B428" s="4" t="s">
        <v>238</v>
      </c>
      <c r="C428" s="4"/>
      <c r="D428" s="4" t="s">
        <v>45</v>
      </c>
      <c r="E428" s="2" t="s">
        <v>1223</v>
      </c>
      <c r="F428" s="2" t="s">
        <v>1224</v>
      </c>
      <c r="G428" s="2" t="s">
        <v>1054</v>
      </c>
      <c r="H428" s="2" t="s">
        <v>1213</v>
      </c>
      <c r="K428" s="5" t="str">
        <f>CONCATENATE(Table1[[#This Row],[Lead UKGI Contact Forename]],".",Table1[[#This Row],[Lead UKGI Contact Surname]],"@ukgi.org.uk")</f>
        <v>.@ukgi.org.uk</v>
      </c>
    </row>
    <row r="429" spans="1:11" ht="38.25" hidden="1" x14ac:dyDescent="0.2">
      <c r="A429" s="4" t="s">
        <v>1225</v>
      </c>
      <c r="B429" s="4" t="s">
        <v>754</v>
      </c>
      <c r="C429" s="4"/>
      <c r="D429" s="4" t="s">
        <v>37</v>
      </c>
      <c r="E429" s="2" t="s">
        <v>1226</v>
      </c>
      <c r="F429" s="2" t="s">
        <v>1115</v>
      </c>
      <c r="G429" s="2" t="s">
        <v>1054</v>
      </c>
      <c r="H429" s="2" t="s">
        <v>1213</v>
      </c>
      <c r="K429" s="5" t="str">
        <f>CONCATENATE(Table1[[#This Row],[Lead UKGI Contact Forename]],".",Table1[[#This Row],[Lead UKGI Contact Surname]],"@ukgi.org.uk")</f>
        <v>.@ukgi.org.uk</v>
      </c>
    </row>
    <row r="430" spans="1:11" ht="38.25" hidden="1" x14ac:dyDescent="0.2">
      <c r="A430" s="4" t="s">
        <v>1227</v>
      </c>
      <c r="B430" s="4" t="s">
        <v>1228</v>
      </c>
      <c r="C430" s="4"/>
      <c r="D430" s="4" t="s">
        <v>45</v>
      </c>
      <c r="E430" s="2" t="s">
        <v>1229</v>
      </c>
      <c r="F430" s="2" t="s">
        <v>1230</v>
      </c>
      <c r="G430" s="2" t="s">
        <v>1054</v>
      </c>
      <c r="H430" s="2" t="s">
        <v>1213</v>
      </c>
      <c r="K430" s="5" t="str">
        <f>CONCATENATE(Table1[[#This Row],[Lead UKGI Contact Forename]],".",Table1[[#This Row],[Lead UKGI Contact Surname]],"@ukgi.org.uk")</f>
        <v>.@ukgi.org.uk</v>
      </c>
    </row>
    <row r="431" spans="1:11" ht="38.25" hidden="1" x14ac:dyDescent="0.2">
      <c r="A431" s="4" t="s">
        <v>1231</v>
      </c>
      <c r="B431" s="4" t="s">
        <v>672</v>
      </c>
      <c r="C431" s="4"/>
      <c r="D431" s="4" t="s">
        <v>45</v>
      </c>
      <c r="E431" s="2" t="s">
        <v>1232</v>
      </c>
      <c r="F431" s="2" t="s">
        <v>1233</v>
      </c>
      <c r="G431" s="2" t="s">
        <v>1054</v>
      </c>
      <c r="H431" s="2" t="s">
        <v>1213</v>
      </c>
      <c r="K431" s="5" t="str">
        <f>CONCATENATE(Table1[[#This Row],[Lead UKGI Contact Forename]],".",Table1[[#This Row],[Lead UKGI Contact Surname]],"@ukgi.org.uk")</f>
        <v>.@ukgi.org.uk</v>
      </c>
    </row>
    <row r="432" spans="1:11" ht="38.25" hidden="1" x14ac:dyDescent="0.2">
      <c r="A432" s="4" t="s">
        <v>1234</v>
      </c>
      <c r="B432" s="4" t="s">
        <v>1235</v>
      </c>
      <c r="C432" s="4"/>
      <c r="D432" s="4" t="s">
        <v>45</v>
      </c>
      <c r="E432" s="2" t="s">
        <v>1236</v>
      </c>
      <c r="F432" s="2" t="s">
        <v>1237</v>
      </c>
      <c r="G432" s="2" t="s">
        <v>1054</v>
      </c>
      <c r="H432" s="2" t="s">
        <v>1213</v>
      </c>
      <c r="K432" s="5" t="str">
        <f>CONCATENATE(Table1[[#This Row],[Lead UKGI Contact Forename]],".",Table1[[#This Row],[Lead UKGI Contact Surname]],"@ukgi.org.uk")</f>
        <v>.@ukgi.org.uk</v>
      </c>
    </row>
    <row r="433" spans="1:11" ht="38.25" hidden="1" x14ac:dyDescent="0.2">
      <c r="A433" s="4" t="s">
        <v>499</v>
      </c>
      <c r="B433" s="4" t="s">
        <v>1238</v>
      </c>
      <c r="C433" s="4"/>
      <c r="D433" s="4" t="s">
        <v>45</v>
      </c>
      <c r="E433" s="2" t="s">
        <v>1239</v>
      </c>
      <c r="F433" s="2" t="s">
        <v>1233</v>
      </c>
      <c r="G433" s="2" t="s">
        <v>1054</v>
      </c>
      <c r="H433" s="2" t="s">
        <v>1213</v>
      </c>
      <c r="K433" s="5" t="str">
        <f>CONCATENATE(Table1[[#This Row],[Lead UKGI Contact Forename]],".",Table1[[#This Row],[Lead UKGI Contact Surname]],"@ukgi.org.uk")</f>
        <v>.@ukgi.org.uk</v>
      </c>
    </row>
    <row r="434" spans="1:11" ht="38.25" hidden="1" x14ac:dyDescent="0.2">
      <c r="A434" s="4" t="s">
        <v>1240</v>
      </c>
      <c r="B434" s="4" t="s">
        <v>1241</v>
      </c>
      <c r="C434" s="4"/>
      <c r="D434" s="4" t="s">
        <v>37</v>
      </c>
      <c r="E434" s="2" t="s">
        <v>231</v>
      </c>
      <c r="F434" s="2" t="s">
        <v>1115</v>
      </c>
      <c r="G434" s="2" t="s">
        <v>1054</v>
      </c>
      <c r="H434" s="2" t="s">
        <v>1213</v>
      </c>
      <c r="K434" s="5" t="str">
        <f>CONCATENATE(Table1[[#This Row],[Lead UKGI Contact Forename]],".",Table1[[#This Row],[Lead UKGI Contact Surname]],"@ukgi.org.uk")</f>
        <v>.@ukgi.org.uk</v>
      </c>
    </row>
    <row r="435" spans="1:11" ht="38.25" hidden="1" x14ac:dyDescent="0.2">
      <c r="A435" s="4" t="s">
        <v>1242</v>
      </c>
      <c r="B435" s="4" t="s">
        <v>142</v>
      </c>
      <c r="C435" s="4"/>
      <c r="D435" s="4" t="s">
        <v>37</v>
      </c>
      <c r="E435" s="2" t="s">
        <v>863</v>
      </c>
      <c r="F435" s="2" t="s">
        <v>1115</v>
      </c>
      <c r="G435" s="2" t="s">
        <v>1054</v>
      </c>
      <c r="H435" s="2" t="s">
        <v>1213</v>
      </c>
      <c r="K435" s="5" t="str">
        <f>CONCATENATE(Table1[[#This Row],[Lead UKGI Contact Forename]],".",Table1[[#This Row],[Lead UKGI Contact Surname]],"@ukgi.org.uk")</f>
        <v>.@ukgi.org.uk</v>
      </c>
    </row>
    <row r="436" spans="1:11" ht="38.25" hidden="1" x14ac:dyDescent="0.2">
      <c r="A436" s="4" t="s">
        <v>1243</v>
      </c>
      <c r="B436" s="4" t="s">
        <v>94</v>
      </c>
      <c r="C436" s="4"/>
      <c r="D436" s="4" t="s">
        <v>45</v>
      </c>
      <c r="E436" s="2" t="s">
        <v>416</v>
      </c>
      <c r="F436" s="2" t="s">
        <v>1244</v>
      </c>
      <c r="G436" s="2" t="s">
        <v>1054</v>
      </c>
      <c r="H436" s="2" t="s">
        <v>1213</v>
      </c>
      <c r="K436" s="5" t="str">
        <f>CONCATENATE(Table1[[#This Row],[Lead UKGI Contact Forename]],".",Table1[[#This Row],[Lead UKGI Contact Surname]],"@ukgi.org.uk")</f>
        <v>.@ukgi.org.uk</v>
      </c>
    </row>
    <row r="437" spans="1:11" ht="38.25" hidden="1" x14ac:dyDescent="0.2">
      <c r="A437" s="4" t="s">
        <v>1245</v>
      </c>
      <c r="B437" s="4" t="s">
        <v>265</v>
      </c>
      <c r="C437" s="4"/>
      <c r="D437" s="4" t="s">
        <v>45</v>
      </c>
      <c r="E437" s="2" t="s">
        <v>1246</v>
      </c>
      <c r="F437" s="2" t="s">
        <v>1247</v>
      </c>
      <c r="G437" s="2" t="s">
        <v>1054</v>
      </c>
      <c r="H437" s="2" t="s">
        <v>1213</v>
      </c>
      <c r="K437" s="5" t="str">
        <f>CONCATENATE(Table1[[#This Row],[Lead UKGI Contact Forename]],".",Table1[[#This Row],[Lead UKGI Contact Surname]],"@ukgi.org.uk")</f>
        <v>.@ukgi.org.uk</v>
      </c>
    </row>
    <row r="438" spans="1:11" ht="38.25" hidden="1" x14ac:dyDescent="0.2">
      <c r="A438" s="4" t="s">
        <v>1248</v>
      </c>
      <c r="B438" s="4" t="s">
        <v>135</v>
      </c>
      <c r="C438" s="4"/>
      <c r="D438" s="4" t="s">
        <v>45</v>
      </c>
      <c r="E438" s="2" t="s">
        <v>1249</v>
      </c>
      <c r="F438" s="2" t="s">
        <v>1250</v>
      </c>
      <c r="G438" s="2" t="s">
        <v>1054</v>
      </c>
      <c r="H438" s="2" t="s">
        <v>1213</v>
      </c>
      <c r="K438" s="5" t="str">
        <f>CONCATENATE(Table1[[#This Row],[Lead UKGI Contact Forename]],".",Table1[[#This Row],[Lead UKGI Contact Surname]],"@ukgi.org.uk")</f>
        <v>.@ukgi.org.uk</v>
      </c>
    </row>
    <row r="439" spans="1:11" ht="38.25" hidden="1" x14ac:dyDescent="0.2">
      <c r="A439" s="4" t="s">
        <v>844</v>
      </c>
      <c r="B439" s="4" t="s">
        <v>139</v>
      </c>
      <c r="C439" s="4"/>
      <c r="D439" s="4" t="s">
        <v>45</v>
      </c>
      <c r="E439" s="2" t="s">
        <v>1251</v>
      </c>
      <c r="F439" s="2" t="s">
        <v>1233</v>
      </c>
      <c r="G439" s="2" t="s">
        <v>1054</v>
      </c>
      <c r="H439" s="2" t="s">
        <v>1213</v>
      </c>
      <c r="K439" s="5" t="str">
        <f>CONCATENATE(Table1[[#This Row],[Lead UKGI Contact Forename]],".",Table1[[#This Row],[Lead UKGI Contact Surname]],"@ukgi.org.uk")</f>
        <v>.@ukgi.org.uk</v>
      </c>
    </row>
    <row r="440" spans="1:11" ht="38.25" hidden="1" x14ac:dyDescent="0.2">
      <c r="A440" s="4" t="s">
        <v>1252</v>
      </c>
      <c r="B440" s="4" t="s">
        <v>1253</v>
      </c>
      <c r="C440" s="4"/>
      <c r="D440" s="4" t="s">
        <v>143</v>
      </c>
      <c r="E440" s="2" t="s">
        <v>1133</v>
      </c>
      <c r="F440" s="2" t="s">
        <v>1134</v>
      </c>
      <c r="G440" s="2" t="s">
        <v>1054</v>
      </c>
      <c r="H440" s="2" t="s">
        <v>1213</v>
      </c>
      <c r="K440" s="5" t="str">
        <f>CONCATENATE(Table1[[#This Row],[Lead UKGI Contact Forename]],".",Table1[[#This Row],[Lead UKGI Contact Surname]],"@ukgi.org.uk")</f>
        <v>.@ukgi.org.uk</v>
      </c>
    </row>
    <row r="441" spans="1:11" ht="38.25" hidden="1" x14ac:dyDescent="0.2">
      <c r="A441" s="4" t="s">
        <v>1254</v>
      </c>
      <c r="B441" s="4" t="s">
        <v>1255</v>
      </c>
      <c r="C441" s="4"/>
      <c r="D441" s="4" t="s">
        <v>622</v>
      </c>
      <c r="E441" s="2" t="s">
        <v>622</v>
      </c>
      <c r="F441" s="2" t="s">
        <v>1138</v>
      </c>
      <c r="G441" s="2" t="s">
        <v>1054</v>
      </c>
      <c r="H441" s="2" t="s">
        <v>1213</v>
      </c>
      <c r="K441" s="5" t="str">
        <f>CONCATENATE(Table1[[#This Row],[Lead UKGI Contact Forename]],".",Table1[[#This Row],[Lead UKGI Contact Surname]],"@ukgi.org.uk")</f>
        <v>.@ukgi.org.uk</v>
      </c>
    </row>
    <row r="442" spans="1:11" ht="38.25" hidden="1" x14ac:dyDescent="0.2">
      <c r="A442" s="4" t="s">
        <v>1256</v>
      </c>
      <c r="B442" s="4" t="s">
        <v>1257</v>
      </c>
      <c r="C442" s="4"/>
      <c r="D442" s="4" t="s">
        <v>622</v>
      </c>
      <c r="E442" s="2" t="s">
        <v>622</v>
      </c>
      <c r="F442" s="2" t="s">
        <v>1138</v>
      </c>
      <c r="G442" s="2" t="s">
        <v>1054</v>
      </c>
      <c r="H442" s="2" t="s">
        <v>1213</v>
      </c>
      <c r="K442" s="5" t="str">
        <f>CONCATENATE(Table1[[#This Row],[Lead UKGI Contact Forename]],".",Table1[[#This Row],[Lead UKGI Contact Surname]],"@ukgi.org.uk")</f>
        <v>.@ukgi.org.uk</v>
      </c>
    </row>
    <row r="443" spans="1:11" ht="38.25" hidden="1" x14ac:dyDescent="0.2">
      <c r="A443" s="4" t="s">
        <v>1258</v>
      </c>
      <c r="B443" s="4" t="s">
        <v>1259</v>
      </c>
      <c r="C443" s="4"/>
      <c r="D443" s="4" t="s">
        <v>622</v>
      </c>
      <c r="E443" s="2" t="s">
        <v>622</v>
      </c>
      <c r="F443" s="2" t="s">
        <v>1138</v>
      </c>
      <c r="G443" s="2" t="s">
        <v>1054</v>
      </c>
      <c r="H443" s="2" t="s">
        <v>1213</v>
      </c>
      <c r="K443" s="5" t="str">
        <f>CONCATENATE(Table1[[#This Row],[Lead UKGI Contact Forename]],".",Table1[[#This Row],[Lead UKGI Contact Surname]],"@ukgi.org.uk")</f>
        <v>.@ukgi.org.uk</v>
      </c>
    </row>
    <row r="444" spans="1:11" ht="38.25" hidden="1" x14ac:dyDescent="0.2">
      <c r="A444" s="4" t="s">
        <v>1260</v>
      </c>
      <c r="B444" s="4" t="s">
        <v>1261</v>
      </c>
      <c r="C444" s="4"/>
      <c r="D444" s="4" t="s">
        <v>622</v>
      </c>
      <c r="E444" s="2" t="s">
        <v>622</v>
      </c>
      <c r="F444" s="2" t="s">
        <v>1138</v>
      </c>
      <c r="G444" s="2" t="s">
        <v>1054</v>
      </c>
      <c r="H444" s="2" t="s">
        <v>1213</v>
      </c>
      <c r="K444" s="5" t="str">
        <f>CONCATENATE(Table1[[#This Row],[Lead UKGI Contact Forename]],".",Table1[[#This Row],[Lead UKGI Contact Surname]],"@ukgi.org.uk")</f>
        <v>.@ukgi.org.uk</v>
      </c>
    </row>
    <row r="445" spans="1:11" ht="38.25" hidden="1" x14ac:dyDescent="0.2">
      <c r="A445" s="4" t="s">
        <v>1262</v>
      </c>
      <c r="B445" s="4" t="s">
        <v>1263</v>
      </c>
      <c r="C445" s="4"/>
      <c r="D445" s="4" t="s">
        <v>622</v>
      </c>
      <c r="E445" s="2" t="s">
        <v>622</v>
      </c>
      <c r="F445" s="2" t="s">
        <v>1138</v>
      </c>
      <c r="G445" s="2" t="s">
        <v>1054</v>
      </c>
      <c r="H445" s="2" t="s">
        <v>1213</v>
      </c>
      <c r="K445" s="5" t="str">
        <f>CONCATENATE(Table1[[#This Row],[Lead UKGI Contact Forename]],".",Table1[[#This Row],[Lead UKGI Contact Surname]],"@ukgi.org.uk")</f>
        <v>.@ukgi.org.uk</v>
      </c>
    </row>
    <row r="446" spans="1:11" ht="102" hidden="1" x14ac:dyDescent="0.2">
      <c r="A446" s="4" t="s">
        <v>1264</v>
      </c>
      <c r="B446" s="4" t="s">
        <v>382</v>
      </c>
      <c r="C446" s="4"/>
      <c r="D446" s="4" t="s">
        <v>110</v>
      </c>
      <c r="E446" s="2" t="s">
        <v>1265</v>
      </c>
      <c r="F446" s="2" t="s">
        <v>1266</v>
      </c>
      <c r="G446" s="2" t="s">
        <v>1054</v>
      </c>
      <c r="H446" s="2" t="s">
        <v>1267</v>
      </c>
      <c r="K446" s="5" t="str">
        <f>CONCATENATE(Table1[[#This Row],[Lead UKGI Contact Forename]],".",Table1[[#This Row],[Lead UKGI Contact Surname]],"@ukgi.org.uk")</f>
        <v>.@ukgi.org.uk</v>
      </c>
    </row>
    <row r="447" spans="1:11" ht="89.25" hidden="1" x14ac:dyDescent="0.2">
      <c r="A447" s="4" t="s">
        <v>374</v>
      </c>
      <c r="B447" s="4" t="s">
        <v>223</v>
      </c>
      <c r="C447" s="4"/>
      <c r="D447" s="4" t="s">
        <v>37</v>
      </c>
      <c r="E447" s="2" t="s">
        <v>1268</v>
      </c>
      <c r="F447" s="2" t="s">
        <v>1269</v>
      </c>
      <c r="G447" s="2" t="s">
        <v>1054</v>
      </c>
      <c r="H447" s="2" t="s">
        <v>1267</v>
      </c>
      <c r="K447" s="5" t="str">
        <f>CONCATENATE(Table1[[#This Row],[Lead UKGI Contact Forename]],".",Table1[[#This Row],[Lead UKGI Contact Surname]],"@ukgi.org.uk")</f>
        <v>.@ukgi.org.uk</v>
      </c>
    </row>
    <row r="448" spans="1:11" ht="63.75" hidden="1" x14ac:dyDescent="0.2">
      <c r="A448" s="4" t="s">
        <v>1270</v>
      </c>
      <c r="B448" s="4" t="s">
        <v>265</v>
      </c>
      <c r="C448" s="4"/>
      <c r="D448" s="4" t="s">
        <v>110</v>
      </c>
      <c r="E448" s="2" t="s">
        <v>1271</v>
      </c>
      <c r="F448" s="2" t="s">
        <v>1272</v>
      </c>
      <c r="G448" s="2" t="s">
        <v>1054</v>
      </c>
      <c r="H448" s="2" t="s">
        <v>1267</v>
      </c>
      <c r="K448" s="5" t="str">
        <f>CONCATENATE(Table1[[#This Row],[Lead UKGI Contact Forename]],".",Table1[[#This Row],[Lead UKGI Contact Surname]],"@ukgi.org.uk")</f>
        <v>.@ukgi.org.uk</v>
      </c>
    </row>
    <row r="449" spans="1:11" ht="38.25" hidden="1" x14ac:dyDescent="0.2">
      <c r="A449" s="4" t="s">
        <v>1273</v>
      </c>
      <c r="B449" s="4" t="s">
        <v>214</v>
      </c>
      <c r="C449" s="4"/>
      <c r="D449" s="4" t="s">
        <v>110</v>
      </c>
      <c r="E449" s="2" t="s">
        <v>1274</v>
      </c>
      <c r="F449" s="2" t="s">
        <v>1275</v>
      </c>
      <c r="G449" s="2" t="s">
        <v>1054</v>
      </c>
      <c r="H449" s="2" t="s">
        <v>1267</v>
      </c>
      <c r="K449" s="5" t="str">
        <f>CONCATENATE(Table1[[#This Row],[Lead UKGI Contact Forename]],".",Table1[[#This Row],[Lead UKGI Contact Surname]],"@ukgi.org.uk")</f>
        <v>.@ukgi.org.uk</v>
      </c>
    </row>
    <row r="450" spans="1:11" ht="38.25" x14ac:dyDescent="0.2">
      <c r="A450" s="4" t="s">
        <v>165</v>
      </c>
      <c r="B450" s="4" t="s">
        <v>1276</v>
      </c>
      <c r="C450" s="4"/>
      <c r="D450" s="4" t="s">
        <v>148</v>
      </c>
      <c r="E450" s="2" t="s">
        <v>1277</v>
      </c>
      <c r="F450" s="2" t="s">
        <v>1278</v>
      </c>
      <c r="G450" s="2" t="s">
        <v>1279</v>
      </c>
      <c r="H450" s="2" t="s">
        <v>1280</v>
      </c>
      <c r="K450" s="5" t="str">
        <f>CONCATENATE(Table1[[#This Row],[Lead UKGI Contact Forename]],".",Table1[[#This Row],[Lead UKGI Contact Surname]],"@ukgi.org.uk")</f>
        <v>.@ukgi.org.uk</v>
      </c>
    </row>
    <row r="451" spans="1:11" ht="38.25" hidden="1" x14ac:dyDescent="0.2">
      <c r="A451" s="4" t="s">
        <v>63</v>
      </c>
      <c r="B451" s="4" t="s">
        <v>1281</v>
      </c>
      <c r="C451" s="4"/>
      <c r="D451" s="4" t="s">
        <v>110</v>
      </c>
      <c r="E451" s="2" t="s">
        <v>1282</v>
      </c>
      <c r="F451" s="2" t="s">
        <v>1283</v>
      </c>
      <c r="G451" s="2" t="s">
        <v>1279</v>
      </c>
      <c r="H451" s="2" t="s">
        <v>1280</v>
      </c>
      <c r="K451" s="5" t="str">
        <f>CONCATENATE(Table1[[#This Row],[Lead UKGI Contact Forename]],".",Table1[[#This Row],[Lead UKGI Contact Surname]],"@ukgi.org.uk")</f>
        <v>.@ukgi.org.uk</v>
      </c>
    </row>
    <row r="452" spans="1:11" ht="38.25" hidden="1" x14ac:dyDescent="0.2">
      <c r="A452" s="4" t="s">
        <v>1284</v>
      </c>
      <c r="B452" s="4" t="s">
        <v>1285</v>
      </c>
      <c r="C452" s="4"/>
      <c r="D452" s="4" t="s">
        <v>37</v>
      </c>
      <c r="E452" s="2" t="s">
        <v>1286</v>
      </c>
      <c r="F452" s="2" t="s">
        <v>1287</v>
      </c>
      <c r="G452" s="2" t="s">
        <v>1279</v>
      </c>
      <c r="H452" s="2" t="s">
        <v>1280</v>
      </c>
      <c r="K452" s="5" t="str">
        <f>CONCATENATE(Table1[[#This Row],[Lead UKGI Contact Forename]],".",Table1[[#This Row],[Lead UKGI Contact Surname]],"@ukgi.org.uk")</f>
        <v>.@ukgi.org.uk</v>
      </c>
    </row>
    <row r="453" spans="1:11" ht="38.25" x14ac:dyDescent="0.2">
      <c r="A453" s="4" t="s">
        <v>1288</v>
      </c>
      <c r="B453" s="4" t="s">
        <v>1289</v>
      </c>
      <c r="C453" s="4"/>
      <c r="D453" s="4" t="s">
        <v>148</v>
      </c>
      <c r="E453" s="2" t="s">
        <v>239</v>
      </c>
      <c r="F453" s="2" t="s">
        <v>1290</v>
      </c>
      <c r="G453" s="2" t="s">
        <v>1279</v>
      </c>
      <c r="H453" s="2" t="s">
        <v>1280</v>
      </c>
      <c r="K453" s="5" t="str">
        <f>CONCATENATE(Table1[[#This Row],[Lead UKGI Contact Forename]],".",Table1[[#This Row],[Lead UKGI Contact Surname]],"@ukgi.org.uk")</f>
        <v>.@ukgi.org.uk</v>
      </c>
    </row>
    <row r="454" spans="1:11" ht="38.25" x14ac:dyDescent="0.2">
      <c r="A454" s="4" t="s">
        <v>1291</v>
      </c>
      <c r="B454" s="4" t="s">
        <v>103</v>
      </c>
      <c r="C454" s="4"/>
      <c r="D454" s="4" t="s">
        <v>148</v>
      </c>
      <c r="E454" s="2" t="s">
        <v>149</v>
      </c>
      <c r="F454" s="2" t="s">
        <v>149</v>
      </c>
      <c r="G454" s="2" t="s">
        <v>1279</v>
      </c>
      <c r="H454" s="2" t="s">
        <v>1292</v>
      </c>
      <c r="K454" s="5" t="str">
        <f>CONCATENATE(Table1[[#This Row],[Lead UKGI Contact Forename]],".",Table1[[#This Row],[Lead UKGI Contact Surname]],"@ukgi.org.uk")</f>
        <v>.@ukgi.org.uk</v>
      </c>
    </row>
    <row r="455" spans="1:11" ht="38.25" hidden="1" x14ac:dyDescent="0.2">
      <c r="A455" s="4" t="s">
        <v>1293</v>
      </c>
      <c r="B455" s="4" t="s">
        <v>875</v>
      </c>
      <c r="C455" s="4"/>
      <c r="D455" s="4" t="s">
        <v>110</v>
      </c>
      <c r="E455" s="2" t="s">
        <v>1294</v>
      </c>
      <c r="F455" s="2" t="s">
        <v>1295</v>
      </c>
      <c r="G455" s="2" t="s">
        <v>1279</v>
      </c>
      <c r="H455" s="2" t="s">
        <v>1292</v>
      </c>
      <c r="K455" s="5" t="str">
        <f>CONCATENATE(Table1[[#This Row],[Lead UKGI Contact Forename]],".",Table1[[#This Row],[Lead UKGI Contact Surname]],"@ukgi.org.uk")</f>
        <v>.@ukgi.org.uk</v>
      </c>
    </row>
    <row r="456" spans="1:11" ht="38.25" hidden="1" x14ac:dyDescent="0.2">
      <c r="A456" s="4" t="s">
        <v>699</v>
      </c>
      <c r="B456" s="4" t="s">
        <v>1296</v>
      </c>
      <c r="C456" s="4"/>
      <c r="D456" s="4" t="s">
        <v>110</v>
      </c>
      <c r="E456" s="2" t="s">
        <v>638</v>
      </c>
      <c r="F456" s="2" t="s">
        <v>1297</v>
      </c>
      <c r="G456" s="2" t="s">
        <v>1279</v>
      </c>
      <c r="H456" s="2" t="s">
        <v>1292</v>
      </c>
      <c r="K456" s="5" t="str">
        <f>CONCATENATE(Table1[[#This Row],[Lead UKGI Contact Forename]],".",Table1[[#This Row],[Lead UKGI Contact Surname]],"@ukgi.org.uk")</f>
        <v>.@ukgi.org.uk</v>
      </c>
    </row>
    <row r="457" spans="1:11" ht="38.25" hidden="1" x14ac:dyDescent="0.2">
      <c r="A457" s="4" t="s">
        <v>1298</v>
      </c>
      <c r="B457" s="4" t="s">
        <v>1299</v>
      </c>
      <c r="C457" s="4"/>
      <c r="D457" s="4" t="s">
        <v>110</v>
      </c>
      <c r="E457" s="2" t="s">
        <v>1300</v>
      </c>
      <c r="F457" s="2" t="s">
        <v>1301</v>
      </c>
      <c r="G457" s="2" t="s">
        <v>1279</v>
      </c>
      <c r="H457" s="2" t="s">
        <v>1292</v>
      </c>
      <c r="K457" s="5" t="str">
        <f>CONCATENATE(Table1[[#This Row],[Lead UKGI Contact Forename]],".",Table1[[#This Row],[Lead UKGI Contact Surname]],"@ukgi.org.uk")</f>
        <v>.@ukgi.org.uk</v>
      </c>
    </row>
    <row r="458" spans="1:11" ht="38.25" hidden="1" x14ac:dyDescent="0.2">
      <c r="A458" s="4" t="s">
        <v>1302</v>
      </c>
      <c r="B458" s="4" t="s">
        <v>1303</v>
      </c>
      <c r="C458" s="4"/>
      <c r="D458" s="4" t="s">
        <v>110</v>
      </c>
      <c r="E458" s="2" t="s">
        <v>1304</v>
      </c>
      <c r="F458" s="2" t="s">
        <v>1305</v>
      </c>
      <c r="G458" s="2" t="s">
        <v>1279</v>
      </c>
      <c r="H458" s="2" t="s">
        <v>1292</v>
      </c>
      <c r="K458" s="5" t="str">
        <f>CONCATENATE(Table1[[#This Row],[Lead UKGI Contact Forename]],".",Table1[[#This Row],[Lead UKGI Contact Surname]],"@ukgi.org.uk")</f>
        <v>.@ukgi.org.uk</v>
      </c>
    </row>
    <row r="459" spans="1:11" ht="38.25" hidden="1" x14ac:dyDescent="0.2">
      <c r="A459" s="4" t="s">
        <v>1306</v>
      </c>
      <c r="B459" s="4" t="s">
        <v>1307</v>
      </c>
      <c r="C459" s="4"/>
      <c r="D459" s="4" t="s">
        <v>37</v>
      </c>
      <c r="E459" s="2" t="s">
        <v>1308</v>
      </c>
      <c r="F459" s="2" t="s">
        <v>1309</v>
      </c>
      <c r="G459" s="2" t="s">
        <v>1279</v>
      </c>
      <c r="H459" s="2" t="s">
        <v>1292</v>
      </c>
      <c r="K459" s="5" t="str">
        <f>CONCATENATE(Table1[[#This Row],[Lead UKGI Contact Forename]],".",Table1[[#This Row],[Lead UKGI Contact Surname]],"@ukgi.org.uk")</f>
        <v>.@ukgi.org.uk</v>
      </c>
    </row>
    <row r="460" spans="1:11" ht="38.25" hidden="1" x14ac:dyDescent="0.2">
      <c r="A460" s="4" t="s">
        <v>1310</v>
      </c>
      <c r="B460" s="4" t="s">
        <v>900</v>
      </c>
      <c r="C460" s="4"/>
      <c r="D460" s="4" t="s">
        <v>110</v>
      </c>
      <c r="E460" s="2" t="s">
        <v>1311</v>
      </c>
      <c r="F460" s="2" t="s">
        <v>1312</v>
      </c>
      <c r="G460" s="2" t="s">
        <v>1279</v>
      </c>
      <c r="H460" s="2" t="s">
        <v>1292</v>
      </c>
      <c r="K460" s="5" t="str">
        <f>CONCATENATE(Table1[[#This Row],[Lead UKGI Contact Forename]],".",Table1[[#This Row],[Lead UKGI Contact Surname]],"@ukgi.org.uk")</f>
        <v>.@ukgi.org.uk</v>
      </c>
    </row>
    <row r="461" spans="1:11" ht="38.25" hidden="1" x14ac:dyDescent="0.2">
      <c r="A461" s="4" t="s">
        <v>1245</v>
      </c>
      <c r="B461" s="4" t="s">
        <v>877</v>
      </c>
      <c r="C461" s="4"/>
      <c r="D461" s="4" t="s">
        <v>37</v>
      </c>
      <c r="E461" s="2" t="s">
        <v>149</v>
      </c>
      <c r="F461" s="2" t="s">
        <v>234</v>
      </c>
      <c r="G461" s="2" t="s">
        <v>1279</v>
      </c>
      <c r="H461" s="2" t="s">
        <v>1313</v>
      </c>
      <c r="K461" s="5" t="str">
        <f>CONCATENATE(Table1[[#This Row],[Lead UKGI Contact Forename]],".",Table1[[#This Row],[Lead UKGI Contact Surname]],"@ukgi.org.uk")</f>
        <v>.@ukgi.org.uk</v>
      </c>
    </row>
    <row r="462" spans="1:11" ht="38.25" x14ac:dyDescent="0.2">
      <c r="A462" s="4" t="s">
        <v>1314</v>
      </c>
      <c r="B462" s="4" t="s">
        <v>1315</v>
      </c>
      <c r="C462" s="4"/>
      <c r="D462" s="4" t="s">
        <v>148</v>
      </c>
      <c r="E462" s="2" t="s">
        <v>1316</v>
      </c>
      <c r="F462" s="2" t="s">
        <v>1316</v>
      </c>
      <c r="G462" s="2" t="s">
        <v>412</v>
      </c>
      <c r="H462" s="2" t="s">
        <v>1317</v>
      </c>
      <c r="K462" s="5" t="str">
        <f>CONCATENATE(Table1[[#This Row],[Lead UKGI Contact Forename]],".",Table1[[#This Row],[Lead UKGI Contact Surname]],"@ukgi.org.uk")</f>
        <v>.@ukgi.org.uk</v>
      </c>
    </row>
    <row r="463" spans="1:11" ht="25.5" hidden="1" x14ac:dyDescent="0.2">
      <c r="A463" s="4" t="s">
        <v>1318</v>
      </c>
      <c r="B463" s="4" t="s">
        <v>109</v>
      </c>
      <c r="C463" s="4"/>
      <c r="D463" s="4" t="s">
        <v>110</v>
      </c>
      <c r="E463" s="2" t="s">
        <v>1319</v>
      </c>
      <c r="F463" s="2" t="s">
        <v>1320</v>
      </c>
      <c r="G463" s="2" t="s">
        <v>412</v>
      </c>
      <c r="H463" s="2" t="s">
        <v>1317</v>
      </c>
      <c r="K463" s="5" t="str">
        <f>CONCATENATE(Table1[[#This Row],[Lead UKGI Contact Forename]],".",Table1[[#This Row],[Lead UKGI Contact Surname]],"@ukgi.org.uk")</f>
        <v>.@ukgi.org.uk</v>
      </c>
    </row>
    <row r="464" spans="1:11" hidden="1" x14ac:dyDescent="0.2">
      <c r="A464" s="4" t="s">
        <v>1321</v>
      </c>
      <c r="B464" s="4" t="s">
        <v>1322</v>
      </c>
      <c r="C464" s="4"/>
      <c r="D464" s="4" t="s">
        <v>110</v>
      </c>
      <c r="E464" s="2" t="s">
        <v>1323</v>
      </c>
      <c r="F464" s="2" t="s">
        <v>1324</v>
      </c>
      <c r="G464" s="2" t="s">
        <v>1325</v>
      </c>
      <c r="H464" s="2" t="s">
        <v>1326</v>
      </c>
      <c r="K464" s="5" t="str">
        <f>CONCATENATE(Table1[[#This Row],[Lead UKGI Contact Forename]],".",Table1[[#This Row],[Lead UKGI Contact Surname]],"@ukgi.org.uk")</f>
        <v>.@ukgi.org.uk</v>
      </c>
    </row>
    <row r="465" spans="1:11" ht="38.25" x14ac:dyDescent="0.2">
      <c r="A465" s="4" t="s">
        <v>1327</v>
      </c>
      <c r="B465" s="4" t="s">
        <v>94</v>
      </c>
      <c r="C465" s="4"/>
      <c r="D465" s="4" t="s">
        <v>148</v>
      </c>
      <c r="E465" s="2" t="s">
        <v>1328</v>
      </c>
      <c r="F465" s="2" t="s">
        <v>1329</v>
      </c>
      <c r="G465" s="2" t="s">
        <v>1325</v>
      </c>
      <c r="H465" s="2" t="s">
        <v>1330</v>
      </c>
      <c r="K465" s="5" t="str">
        <f>CONCATENATE(Table1[[#This Row],[Lead UKGI Contact Forename]],".",Table1[[#This Row],[Lead UKGI Contact Surname]],"@ukgi.org.uk")</f>
        <v>.@ukgi.org.uk</v>
      </c>
    </row>
    <row r="466" spans="1:11" ht="25.5" x14ac:dyDescent="0.2">
      <c r="A466" s="4" t="s">
        <v>394</v>
      </c>
      <c r="B466" s="4" t="s">
        <v>1331</v>
      </c>
      <c r="C466" s="7" t="s">
        <v>1332</v>
      </c>
      <c r="D466" s="4" t="s">
        <v>148</v>
      </c>
      <c r="E466" s="2" t="s">
        <v>1333</v>
      </c>
      <c r="F466" s="2" t="s">
        <v>1329</v>
      </c>
      <c r="G466" s="2" t="s">
        <v>1325</v>
      </c>
      <c r="H466" s="2" t="s">
        <v>1330</v>
      </c>
      <c r="K466" s="5" t="str">
        <f>CONCATENATE(Table1[[#This Row],[Lead UKGI Contact Forename]],".",Table1[[#This Row],[Lead UKGI Contact Surname]],"@ukgi.org.uk")</f>
        <v>.@ukgi.org.uk</v>
      </c>
    </row>
    <row r="467" spans="1:11" ht="25.5" hidden="1" x14ac:dyDescent="0.2">
      <c r="A467" s="4" t="s">
        <v>1334</v>
      </c>
      <c r="B467" s="4" t="s">
        <v>155</v>
      </c>
      <c r="C467" s="4"/>
      <c r="D467" s="4" t="s">
        <v>1335</v>
      </c>
      <c r="E467" s="2" t="s">
        <v>1336</v>
      </c>
      <c r="F467" s="2" t="s">
        <v>1337</v>
      </c>
      <c r="G467" s="2" t="s">
        <v>1338</v>
      </c>
      <c r="H467" s="2" t="s">
        <v>1339</v>
      </c>
      <c r="K467" s="5" t="str">
        <f>CONCATENATE(Table1[[#This Row],[Lead UKGI Contact Forename]],".",Table1[[#This Row],[Lead UKGI Contact Surname]],"@ukgi.org.uk")</f>
        <v>.@ukgi.org.uk</v>
      </c>
    </row>
    <row r="468" spans="1:11" hidden="1" x14ac:dyDescent="0.2">
      <c r="A468" s="4" t="s">
        <v>1340</v>
      </c>
      <c r="B468" s="4" t="s">
        <v>1341</v>
      </c>
      <c r="C468" s="4"/>
      <c r="D468" s="4" t="s">
        <v>1342</v>
      </c>
      <c r="E468" s="2" t="s">
        <v>1343</v>
      </c>
      <c r="F468" s="2" t="s">
        <v>1343</v>
      </c>
      <c r="G468" s="5" t="s">
        <v>40</v>
      </c>
      <c r="H468" s="2" t="s">
        <v>40</v>
      </c>
      <c r="K468" s="5" t="str">
        <f>CONCATENATE(Table1[[#This Row],[Lead UKGI Contact Forename]],".",Table1[[#This Row],[Lead UKGI Contact Surname]],"@ukgi.org.uk")</f>
        <v>.@ukgi.org.uk</v>
      </c>
    </row>
    <row r="469" spans="1:11" hidden="1" x14ac:dyDescent="0.2">
      <c r="A469" s="4" t="s">
        <v>575</v>
      </c>
      <c r="B469" s="4" t="s">
        <v>310</v>
      </c>
      <c r="C469" s="4"/>
      <c r="D469" s="4" t="s">
        <v>1342</v>
      </c>
      <c r="E469" s="2" t="s">
        <v>1343</v>
      </c>
      <c r="F469" s="2" t="s">
        <v>1343</v>
      </c>
      <c r="G469" s="5" t="s">
        <v>40</v>
      </c>
      <c r="H469" s="2" t="s">
        <v>40</v>
      </c>
      <c r="K469" s="5" t="str">
        <f>CONCATENATE(Table1[[#This Row],[Lead UKGI Contact Forename]],".",Table1[[#This Row],[Lead UKGI Contact Surname]],"@ukgi.org.uk")</f>
        <v>.@ukgi.org.uk</v>
      </c>
    </row>
    <row r="470" spans="1:11" ht="25.5" hidden="1" x14ac:dyDescent="0.2">
      <c r="A470" s="4" t="s">
        <v>117</v>
      </c>
      <c r="B470" s="4" t="s">
        <v>377</v>
      </c>
      <c r="C470" s="4"/>
      <c r="D470" s="4" t="s">
        <v>1344</v>
      </c>
      <c r="E470" s="2" t="s">
        <v>248</v>
      </c>
      <c r="F470" s="2" t="s">
        <v>1345</v>
      </c>
      <c r="G470" s="2" t="s">
        <v>1338</v>
      </c>
      <c r="H470" s="2" t="s">
        <v>1346</v>
      </c>
      <c r="K470" s="5" t="str">
        <f>CONCATENATE(Table1[[#This Row],[Lead UKGI Contact Forename]],".",Table1[[#This Row],[Lead UKGI Contact Surname]],"@ukgi.org.uk")</f>
        <v>.@ukgi.org.uk</v>
      </c>
    </row>
    <row r="471" spans="1:11" ht="25.5" hidden="1" x14ac:dyDescent="0.2">
      <c r="A471" s="4" t="s">
        <v>177</v>
      </c>
      <c r="B471" s="4" t="s">
        <v>1347</v>
      </c>
      <c r="C471" s="4"/>
      <c r="D471" s="4" t="s">
        <v>1348</v>
      </c>
      <c r="E471" s="2" t="s">
        <v>1349</v>
      </c>
      <c r="F471" s="2" t="s">
        <v>1350</v>
      </c>
      <c r="G471" s="2" t="s">
        <v>1338</v>
      </c>
      <c r="H471" s="2" t="s">
        <v>1346</v>
      </c>
      <c r="K471" s="5" t="str">
        <f>CONCATENATE(Table1[[#This Row],[Lead UKGI Contact Forename]],".",Table1[[#This Row],[Lead UKGI Contact Surname]],"@ukgi.org.uk")</f>
        <v>.@ukgi.org.uk</v>
      </c>
    </row>
    <row r="472" spans="1:11" ht="25.5" hidden="1" x14ac:dyDescent="0.2">
      <c r="A472" s="4" t="s">
        <v>1351</v>
      </c>
      <c r="B472" s="4" t="s">
        <v>1352</v>
      </c>
      <c r="C472" s="4"/>
      <c r="D472" s="4" t="s">
        <v>1353</v>
      </c>
      <c r="E472" s="2" t="s">
        <v>234</v>
      </c>
      <c r="F472" s="2" t="s">
        <v>1344</v>
      </c>
      <c r="G472" s="2" t="s">
        <v>1338</v>
      </c>
      <c r="H472" s="2" t="s">
        <v>1346</v>
      </c>
      <c r="K472" s="5" t="str">
        <f>CONCATENATE(Table1[[#This Row],[Lead UKGI Contact Forename]],".",Table1[[#This Row],[Lead UKGI Contact Surname]],"@ukgi.org.uk")</f>
        <v>.@ukgi.org.uk</v>
      </c>
    </row>
    <row r="473" spans="1:11" ht="25.5" hidden="1" x14ac:dyDescent="0.2">
      <c r="A473" s="4" t="s">
        <v>1129</v>
      </c>
      <c r="B473" s="4" t="s">
        <v>1354</v>
      </c>
      <c r="C473" s="4"/>
      <c r="D473" s="4" t="s">
        <v>1353</v>
      </c>
      <c r="E473" s="2" t="s">
        <v>1355</v>
      </c>
      <c r="F473" s="2" t="s">
        <v>1344</v>
      </c>
      <c r="G473" s="2" t="s">
        <v>1338</v>
      </c>
      <c r="H473" s="2" t="s">
        <v>1346</v>
      </c>
      <c r="K473" s="5" t="str">
        <f>CONCATENATE(Table1[[#This Row],[Lead UKGI Contact Forename]],".",Table1[[#This Row],[Lead UKGI Contact Surname]],"@ukgi.org.uk")</f>
        <v>.@ukgi.org.uk</v>
      </c>
    </row>
    <row r="474" spans="1:11" ht="25.5" hidden="1" x14ac:dyDescent="0.2">
      <c r="A474" s="4" t="s">
        <v>1356</v>
      </c>
      <c r="B474" s="4" t="s">
        <v>1357</v>
      </c>
      <c r="C474" s="4"/>
      <c r="D474" s="4" t="s">
        <v>1353</v>
      </c>
      <c r="E474" s="2" t="s">
        <v>1355</v>
      </c>
      <c r="F474" s="2" t="s">
        <v>1344</v>
      </c>
      <c r="G474" s="2" t="s">
        <v>1338</v>
      </c>
      <c r="H474" s="2" t="s">
        <v>1346</v>
      </c>
      <c r="K474" s="5" t="str">
        <f>CONCATENATE(Table1[[#This Row],[Lead UKGI Contact Forename]],".",Table1[[#This Row],[Lead UKGI Contact Surname]],"@ukgi.org.uk")</f>
        <v>.@ukgi.org.uk</v>
      </c>
    </row>
    <row r="475" spans="1:11" ht="25.5" hidden="1" x14ac:dyDescent="0.2">
      <c r="A475" s="4" t="s">
        <v>1288</v>
      </c>
      <c r="B475" s="4" t="s">
        <v>57</v>
      </c>
      <c r="C475" s="4"/>
      <c r="D475" s="4" t="s">
        <v>1353</v>
      </c>
      <c r="E475" s="2" t="s">
        <v>248</v>
      </c>
      <c r="F475" s="2" t="s">
        <v>1344</v>
      </c>
      <c r="G475" s="2" t="s">
        <v>1338</v>
      </c>
      <c r="H475" s="2" t="s">
        <v>1346</v>
      </c>
      <c r="K475" s="5" t="str">
        <f>CONCATENATE(Table1[[#This Row],[Lead UKGI Contact Forename]],".",Table1[[#This Row],[Lead UKGI Contact Surname]],"@ukgi.org.uk")</f>
        <v>.@ukgi.org.uk</v>
      </c>
    </row>
    <row r="476" spans="1:11" ht="25.5" hidden="1" x14ac:dyDescent="0.2">
      <c r="A476" s="4" t="s">
        <v>50</v>
      </c>
      <c r="B476" s="4" t="s">
        <v>139</v>
      </c>
      <c r="C476" s="4"/>
      <c r="D476" s="4" t="s">
        <v>1353</v>
      </c>
      <c r="E476" s="2" t="s">
        <v>248</v>
      </c>
      <c r="F476" s="2" t="s">
        <v>1344</v>
      </c>
      <c r="G476" s="2" t="s">
        <v>1338</v>
      </c>
      <c r="H476" s="2" t="s">
        <v>1346</v>
      </c>
      <c r="K476" s="5" t="str">
        <f>CONCATENATE(Table1[[#This Row],[Lead UKGI Contact Forename]],".",Table1[[#This Row],[Lead UKGI Contact Surname]],"@ukgi.org.uk")</f>
        <v>.@ukgi.org.uk</v>
      </c>
    </row>
    <row r="477" spans="1:11" ht="25.5" hidden="1" x14ac:dyDescent="0.2">
      <c r="A477" s="4" t="s">
        <v>1358</v>
      </c>
      <c r="B477" s="4" t="s">
        <v>541</v>
      </c>
      <c r="C477" s="4"/>
      <c r="D477" s="4" t="s">
        <v>1344</v>
      </c>
      <c r="E477" s="2" t="s">
        <v>248</v>
      </c>
      <c r="F477" s="2" t="s">
        <v>1345</v>
      </c>
      <c r="G477" s="2" t="s">
        <v>1338</v>
      </c>
      <c r="H477" s="2" t="s">
        <v>1346</v>
      </c>
      <c r="K477" s="5" t="str">
        <f>CONCATENATE(Table1[[#This Row],[Lead UKGI Contact Forename]],".",Table1[[#This Row],[Lead UKGI Contact Surname]],"@ukgi.org.uk")</f>
        <v>.@ukgi.org.uk</v>
      </c>
    </row>
    <row r="478" spans="1:11" ht="38.25" hidden="1" x14ac:dyDescent="0.2">
      <c r="A478" s="4" t="s">
        <v>1359</v>
      </c>
      <c r="B478" s="4" t="s">
        <v>931</v>
      </c>
      <c r="C478" s="4"/>
      <c r="D478" s="4" t="s">
        <v>211</v>
      </c>
      <c r="E478" s="2" t="s">
        <v>1360</v>
      </c>
      <c r="F478" s="2" t="s">
        <v>1361</v>
      </c>
      <c r="G478" s="2" t="s">
        <v>40</v>
      </c>
      <c r="H478" s="2" t="s">
        <v>1362</v>
      </c>
      <c r="K478" s="5" t="str">
        <f>CONCATENATE(Table1[[#This Row],[Lead UKGI Contact Forename]],".",Table1[[#This Row],[Lead UKGI Contact Surname]],"@ukgi.org.uk")</f>
        <v>.@ukgi.org.uk</v>
      </c>
    </row>
    <row r="479" spans="1:11" ht="25.5" hidden="1" x14ac:dyDescent="0.2">
      <c r="A479" s="4" t="s">
        <v>1363</v>
      </c>
      <c r="B479" s="4" t="s">
        <v>1364</v>
      </c>
      <c r="C479" s="4"/>
      <c r="D479" s="4" t="s">
        <v>211</v>
      </c>
      <c r="E479" s="2" t="s">
        <v>638</v>
      </c>
      <c r="F479" s="2" t="s">
        <v>1365</v>
      </c>
      <c r="G479" s="2" t="s">
        <v>40</v>
      </c>
      <c r="H479" s="2" t="s">
        <v>1362</v>
      </c>
      <c r="K479" s="5" t="str">
        <f>CONCATENATE(Table1[[#This Row],[Lead UKGI Contact Forename]],".",Table1[[#This Row],[Lead UKGI Contact Surname]],"@ukgi.org.uk")</f>
        <v>.@ukgi.org.uk</v>
      </c>
    </row>
    <row r="480" spans="1:11" ht="38.25" hidden="1" x14ac:dyDescent="0.2">
      <c r="A480" s="4" t="s">
        <v>1366</v>
      </c>
      <c r="B480" s="4" t="s">
        <v>109</v>
      </c>
      <c r="C480" s="4"/>
      <c r="D480" s="4" t="s">
        <v>211</v>
      </c>
      <c r="E480" s="2" t="s">
        <v>1367</v>
      </c>
      <c r="F480" s="2" t="s">
        <v>1361</v>
      </c>
      <c r="G480" s="2" t="s">
        <v>40</v>
      </c>
      <c r="H480" s="2" t="s">
        <v>1362</v>
      </c>
      <c r="K480" s="5" t="str">
        <f>CONCATENATE(Table1[[#This Row],[Lead UKGI Contact Forename]],".",Table1[[#This Row],[Lead UKGI Contact Surname]],"@ukgi.org.uk")</f>
        <v>.@ukgi.org.uk</v>
      </c>
    </row>
    <row r="481" spans="1:11" ht="25.5" hidden="1" x14ac:dyDescent="0.2">
      <c r="A481" s="4" t="s">
        <v>1368</v>
      </c>
      <c r="B481" s="4" t="s">
        <v>343</v>
      </c>
      <c r="C481" s="4"/>
      <c r="D481" s="4" t="s">
        <v>37</v>
      </c>
      <c r="E481" s="2" t="s">
        <v>149</v>
      </c>
      <c r="F481" s="2" t="s">
        <v>1369</v>
      </c>
      <c r="G481" s="2" t="s">
        <v>40</v>
      </c>
      <c r="H481" s="2" t="s">
        <v>1362</v>
      </c>
      <c r="K481" s="5" t="str">
        <f>CONCATENATE(Table1[[#This Row],[Lead UKGI Contact Forename]],".",Table1[[#This Row],[Lead UKGI Contact Surname]],"@ukgi.org.uk")</f>
        <v>.@ukgi.org.uk</v>
      </c>
    </row>
    <row r="482" spans="1:11" ht="25.5" hidden="1" x14ac:dyDescent="0.2">
      <c r="A482" s="4" t="s">
        <v>1370</v>
      </c>
      <c r="B482" s="4" t="s">
        <v>51</v>
      </c>
      <c r="C482" s="4"/>
      <c r="D482" s="4" t="s">
        <v>1371</v>
      </c>
      <c r="E482" s="2" t="s">
        <v>1372</v>
      </c>
      <c r="F482" s="2" t="s">
        <v>1345</v>
      </c>
      <c r="G482" s="2" t="s">
        <v>40</v>
      </c>
      <c r="H482" s="2" t="s">
        <v>1362</v>
      </c>
      <c r="K482" s="5" t="str">
        <f>CONCATENATE(Table1[[#This Row],[Lead UKGI Contact Forename]],".",Table1[[#This Row],[Lead UKGI Contact Surname]],"@ukgi.org.uk")</f>
        <v>.@ukgi.org.uk</v>
      </c>
    </row>
    <row r="483" spans="1:11" ht="25.5" hidden="1" x14ac:dyDescent="0.2">
      <c r="A483" s="4" t="s">
        <v>1373</v>
      </c>
      <c r="B483" s="4" t="s">
        <v>1374</v>
      </c>
      <c r="C483" s="4"/>
      <c r="D483" s="4" t="s">
        <v>1344</v>
      </c>
      <c r="E483" s="2" t="s">
        <v>248</v>
      </c>
      <c r="F483" s="2" t="s">
        <v>1345</v>
      </c>
      <c r="G483" s="2" t="s">
        <v>40</v>
      </c>
      <c r="H483" s="2" t="s">
        <v>1346</v>
      </c>
      <c r="K483" s="5" t="str">
        <f>CONCATENATE(Table1[[#This Row],[Lead UKGI Contact Forename]],".",Table1[[#This Row],[Lead UKGI Contact Surname]],"@ukgi.org.uk")</f>
        <v>.@ukgi.org.uk</v>
      </c>
    </row>
    <row r="484" spans="1:11" hidden="1" x14ac:dyDescent="0.2">
      <c r="A484" s="4" t="s">
        <v>1375</v>
      </c>
      <c r="B484" s="4" t="s">
        <v>429</v>
      </c>
      <c r="C484" s="4"/>
      <c r="D484" s="4" t="s">
        <v>1348</v>
      </c>
      <c r="E484" s="2" t="s">
        <v>1376</v>
      </c>
      <c r="F484" s="2" t="s">
        <v>1377</v>
      </c>
      <c r="G484" s="2" t="s">
        <v>40</v>
      </c>
      <c r="H484" s="2" t="s">
        <v>1378</v>
      </c>
      <c r="K484" s="5" t="str">
        <f>CONCATENATE(Table1[[#This Row],[Lead UKGI Contact Forename]],".",Table1[[#This Row],[Lead UKGI Contact Surname]],"@ukgi.org.uk")</f>
        <v>.@ukgi.org.uk</v>
      </c>
    </row>
    <row r="485" spans="1:11" ht="25.5" hidden="1" x14ac:dyDescent="0.2">
      <c r="A485" s="4" t="s">
        <v>1379</v>
      </c>
      <c r="B485" s="4" t="s">
        <v>142</v>
      </c>
      <c r="C485" s="4"/>
      <c r="D485" s="4" t="s">
        <v>110</v>
      </c>
      <c r="E485" s="2" t="s">
        <v>1380</v>
      </c>
      <c r="F485" s="2" t="s">
        <v>1381</v>
      </c>
      <c r="G485" s="2" t="s">
        <v>40</v>
      </c>
      <c r="H485" s="2" t="s">
        <v>1382</v>
      </c>
      <c r="K485" s="5" t="str">
        <f>CONCATENATE(Table1[[#This Row],[Lead UKGI Contact Forename]],".",Table1[[#This Row],[Lead UKGI Contact Surname]],"@ukgi.org.uk")</f>
        <v>.@ukgi.org.uk</v>
      </c>
    </row>
    <row r="486" spans="1:11" ht="25.5" hidden="1" x14ac:dyDescent="0.2">
      <c r="A486" s="4" t="s">
        <v>1383</v>
      </c>
      <c r="B486" s="4" t="s">
        <v>754</v>
      </c>
      <c r="C486" s="4"/>
      <c r="D486" s="4" t="s">
        <v>211</v>
      </c>
      <c r="E486" s="2" t="s">
        <v>1384</v>
      </c>
      <c r="F486" s="2" t="s">
        <v>1380</v>
      </c>
      <c r="G486" s="2" t="s">
        <v>1385</v>
      </c>
      <c r="H486" s="2" t="s">
        <v>1382</v>
      </c>
      <c r="K486" s="5" t="str">
        <f>CONCATENATE(Table1[[#This Row],[Lead UKGI Contact Forename]],".",Table1[[#This Row],[Lead UKGI Contact Surname]],"@ukgi.org.uk")</f>
        <v>.@ukgi.org.uk</v>
      </c>
    </row>
    <row r="487" spans="1:11" ht="25.5" hidden="1" x14ac:dyDescent="0.2">
      <c r="A487" s="4" t="s">
        <v>1386</v>
      </c>
      <c r="B487" s="4" t="s">
        <v>63</v>
      </c>
      <c r="C487" s="4"/>
      <c r="D487" s="4" t="s">
        <v>211</v>
      </c>
      <c r="E487" s="2" t="s">
        <v>1387</v>
      </c>
      <c r="F487" s="2" t="s">
        <v>1380</v>
      </c>
      <c r="G487" s="2" t="s">
        <v>1385</v>
      </c>
      <c r="H487" s="2" t="s">
        <v>1382</v>
      </c>
      <c r="K487" s="5" t="str">
        <f>CONCATENATE(Table1[[#This Row],[Lead UKGI Contact Forename]],".",Table1[[#This Row],[Lead UKGI Contact Surname]],"@ukgi.org.uk")</f>
        <v>.@ukgi.org.uk</v>
      </c>
    </row>
    <row r="488" spans="1:11" ht="25.5" hidden="1" x14ac:dyDescent="0.2">
      <c r="A488" s="4" t="s">
        <v>1388</v>
      </c>
      <c r="B488" s="4" t="s">
        <v>114</v>
      </c>
      <c r="C488" s="4"/>
      <c r="D488" s="4" t="s">
        <v>211</v>
      </c>
      <c r="E488" s="2" t="s">
        <v>1389</v>
      </c>
      <c r="F488" s="2" t="s">
        <v>1390</v>
      </c>
      <c r="G488" s="2" t="s">
        <v>1385</v>
      </c>
      <c r="H488" s="2" t="s">
        <v>1382</v>
      </c>
      <c r="K488" s="5" t="str">
        <f>CONCATENATE(Table1[[#This Row],[Lead UKGI Contact Forename]],".",Table1[[#This Row],[Lead UKGI Contact Surname]],"@ukgi.org.uk")</f>
        <v>.@ukgi.org.uk</v>
      </c>
    </row>
    <row r="489" spans="1:11" ht="25.5" x14ac:dyDescent="0.2">
      <c r="A489" s="4" t="s">
        <v>1391</v>
      </c>
      <c r="B489" s="4" t="s">
        <v>214</v>
      </c>
      <c r="C489" s="4"/>
      <c r="D489" s="4" t="s">
        <v>148</v>
      </c>
      <c r="E489" s="2" t="s">
        <v>208</v>
      </c>
      <c r="F489" s="2" t="s">
        <v>208</v>
      </c>
      <c r="G489" s="2" t="s">
        <v>1392</v>
      </c>
      <c r="H489" s="2" t="s">
        <v>1392</v>
      </c>
      <c r="K489" s="5" t="str">
        <f>CONCATENATE(Table1[[#This Row],[Lead UKGI Contact Forename]],".",Table1[[#This Row],[Lead UKGI Contact Surname]],"@ukgi.org.uk")</f>
        <v>.@ukgi.org.uk</v>
      </c>
    </row>
    <row r="490" spans="1:11" ht="25.5" x14ac:dyDescent="0.2">
      <c r="A490" s="4" t="s">
        <v>1393</v>
      </c>
      <c r="B490" s="4" t="s">
        <v>807</v>
      </c>
      <c r="C490" s="4"/>
      <c r="D490" s="4" t="s">
        <v>148</v>
      </c>
      <c r="E490" s="2" t="s">
        <v>149</v>
      </c>
      <c r="F490" s="2" t="s">
        <v>149</v>
      </c>
      <c r="G490" s="2" t="s">
        <v>1392</v>
      </c>
      <c r="H490" s="2" t="s">
        <v>1394</v>
      </c>
      <c r="K490" s="5" t="str">
        <f>CONCATENATE(Table1[[#This Row],[Lead UKGI Contact Forename]],".",Table1[[#This Row],[Lead UKGI Contact Surname]],"@ukgi.org.uk")</f>
        <v>.@ukgi.org.uk</v>
      </c>
    </row>
    <row r="491" spans="1:11" ht="51" hidden="1" x14ac:dyDescent="0.2">
      <c r="A491" s="4" t="s">
        <v>120</v>
      </c>
      <c r="B491" s="4" t="s">
        <v>94</v>
      </c>
      <c r="C491" s="4"/>
      <c r="D491" s="4" t="s">
        <v>110</v>
      </c>
      <c r="E491" s="2" t="s">
        <v>234</v>
      </c>
      <c r="F491" s="2" t="s">
        <v>1395</v>
      </c>
      <c r="G491" s="2" t="s">
        <v>1392</v>
      </c>
      <c r="H491" s="2" t="s">
        <v>1396</v>
      </c>
      <c r="K491" s="5" t="str">
        <f>CONCATENATE(Table1[[#This Row],[Lead UKGI Contact Forename]],".",Table1[[#This Row],[Lead UKGI Contact Surname]],"@ukgi.org.uk")</f>
        <v>.@ukgi.org.uk</v>
      </c>
    </row>
    <row r="492" spans="1:11" ht="51" hidden="1" x14ac:dyDescent="0.2">
      <c r="A492" s="4" t="s">
        <v>277</v>
      </c>
      <c r="B492" s="4" t="s">
        <v>142</v>
      </c>
      <c r="C492" s="4"/>
      <c r="D492" s="4" t="s">
        <v>37</v>
      </c>
      <c r="E492" s="2" t="s">
        <v>1397</v>
      </c>
      <c r="F492" s="2" t="s">
        <v>1398</v>
      </c>
      <c r="G492" s="2" t="s">
        <v>1392</v>
      </c>
      <c r="H492" s="2" t="s">
        <v>1396</v>
      </c>
      <c r="K492" s="5" t="str">
        <f>CONCATENATE(Table1[[#This Row],[Lead UKGI Contact Forename]],".",Table1[[#This Row],[Lead UKGI Contact Surname]],"@ukgi.org.uk")</f>
        <v>.@ukgi.org.uk</v>
      </c>
    </row>
    <row r="493" spans="1:11" ht="51" hidden="1" x14ac:dyDescent="0.2">
      <c r="A493" s="4" t="s">
        <v>1399</v>
      </c>
      <c r="B493" s="4" t="s">
        <v>265</v>
      </c>
      <c r="C493" s="4"/>
      <c r="D493" s="4" t="s">
        <v>37</v>
      </c>
      <c r="E493" s="2" t="s">
        <v>252</v>
      </c>
      <c r="F493" s="2" t="s">
        <v>1400</v>
      </c>
      <c r="G493" s="2" t="s">
        <v>1392</v>
      </c>
      <c r="H493" s="2" t="s">
        <v>1396</v>
      </c>
      <c r="K493" s="5" t="str">
        <f>CONCATENATE(Table1[[#This Row],[Lead UKGI Contact Forename]],".",Table1[[#This Row],[Lead UKGI Contact Surname]],"@ukgi.org.uk")</f>
        <v>.@ukgi.org.uk</v>
      </c>
    </row>
    <row r="494" spans="1:11" ht="127.5" hidden="1" x14ac:dyDescent="0.2">
      <c r="A494" s="4" t="s">
        <v>1401</v>
      </c>
      <c r="B494" s="4" t="s">
        <v>296</v>
      </c>
      <c r="C494" s="4"/>
      <c r="D494" s="4" t="s">
        <v>37</v>
      </c>
      <c r="E494" s="2" t="s">
        <v>248</v>
      </c>
      <c r="F494" s="2" t="s">
        <v>1402</v>
      </c>
      <c r="G494" s="2" t="s">
        <v>1392</v>
      </c>
      <c r="H494" s="2" t="s">
        <v>1403</v>
      </c>
      <c r="K494" s="5" t="str">
        <f>CONCATENATE(Table1[[#This Row],[Lead UKGI Contact Forename]],".",Table1[[#This Row],[Lead UKGI Contact Surname]],"@ukgi.org.uk")</f>
        <v>.@ukgi.org.uk</v>
      </c>
    </row>
    <row r="495" spans="1:11" ht="25.5" x14ac:dyDescent="0.2">
      <c r="A495" s="4" t="s">
        <v>1404</v>
      </c>
      <c r="B495" s="4" t="s">
        <v>1405</v>
      </c>
      <c r="C495" s="4"/>
      <c r="D495" s="4" t="s">
        <v>148</v>
      </c>
      <c r="E495" s="2" t="s">
        <v>234</v>
      </c>
      <c r="F495" s="2" t="s">
        <v>234</v>
      </c>
      <c r="G495" s="2" t="s">
        <v>1392</v>
      </c>
      <c r="H495" s="2" t="s">
        <v>1406</v>
      </c>
      <c r="K495" s="5" t="str">
        <f>CONCATENATE(Table1[[#This Row],[Lead UKGI Contact Forename]],".",Table1[[#This Row],[Lead UKGI Contact Surname]],"@ukgi.org.uk")</f>
        <v>.@ukgi.org.uk</v>
      </c>
    </row>
    <row r="496" spans="1:11" ht="25.5" x14ac:dyDescent="0.2">
      <c r="A496" s="4" t="s">
        <v>1407</v>
      </c>
      <c r="B496" s="4" t="s">
        <v>94</v>
      </c>
      <c r="C496" s="4"/>
      <c r="D496" s="4" t="s">
        <v>148</v>
      </c>
      <c r="E496" s="2" t="s">
        <v>1408</v>
      </c>
      <c r="F496" s="2" t="s">
        <v>1409</v>
      </c>
      <c r="G496" s="2" t="s">
        <v>1392</v>
      </c>
      <c r="H496" s="2" t="s">
        <v>1410</v>
      </c>
      <c r="K496" s="5" t="str">
        <f>CONCATENATE(Table1[[#This Row],[Lead UKGI Contact Forename]],".",Table1[[#This Row],[Lead UKGI Contact Surname]],"@ukgi.org.uk")</f>
        <v>.@ukgi.org.uk</v>
      </c>
    </row>
    <row r="497" spans="1:11" ht="25.5" hidden="1" x14ac:dyDescent="0.2">
      <c r="A497" s="4" t="s">
        <v>1411</v>
      </c>
      <c r="B497" s="4" t="s">
        <v>1412</v>
      </c>
      <c r="C497" s="4"/>
      <c r="D497" s="4" t="s">
        <v>110</v>
      </c>
      <c r="E497" s="2" t="s">
        <v>990</v>
      </c>
      <c r="F497" s="2" t="s">
        <v>1413</v>
      </c>
      <c r="G497" s="2" t="s">
        <v>1392</v>
      </c>
      <c r="H497" s="2" t="s">
        <v>1414</v>
      </c>
      <c r="K497" s="5" t="str">
        <f>CONCATENATE(Table1[[#This Row],[Lead UKGI Contact Forename]],".",Table1[[#This Row],[Lead UKGI Contact Surname]],"@ukgi.org.uk")</f>
        <v>.@ukgi.org.uk</v>
      </c>
    </row>
    <row r="498" spans="1:11" ht="76.5" x14ac:dyDescent="0.2">
      <c r="A498" s="4" t="s">
        <v>1415</v>
      </c>
      <c r="B498" s="4" t="s">
        <v>1416</v>
      </c>
      <c r="C498" s="4"/>
      <c r="D498" s="4" t="s">
        <v>148</v>
      </c>
      <c r="E498" s="2" t="s">
        <v>248</v>
      </c>
      <c r="F498" s="2" t="s">
        <v>1417</v>
      </c>
      <c r="G498" s="2" t="s">
        <v>1392</v>
      </c>
      <c r="H498" s="2" t="s">
        <v>1418</v>
      </c>
      <c r="K498" s="5" t="str">
        <f>CONCATENATE(Table1[[#This Row],[Lead UKGI Contact Forename]],".",Table1[[#This Row],[Lead UKGI Contact Surname]],"@ukgi.org.uk")</f>
        <v>.@ukgi.org.uk</v>
      </c>
    </row>
    <row r="499" spans="1:11" ht="25.5" hidden="1" x14ac:dyDescent="0.2">
      <c r="A499" s="4" t="s">
        <v>1419</v>
      </c>
      <c r="B499" s="4" t="s">
        <v>1420</v>
      </c>
      <c r="C499" s="4"/>
      <c r="D499" s="4" t="s">
        <v>37</v>
      </c>
      <c r="E499" s="2" t="s">
        <v>1421</v>
      </c>
      <c r="F499" s="2" t="s">
        <v>1422</v>
      </c>
      <c r="G499" s="2" t="s">
        <v>1392</v>
      </c>
      <c r="H499" s="2" t="s">
        <v>1423</v>
      </c>
      <c r="K499" s="5" t="str">
        <f>CONCATENATE(Table1[[#This Row],[Lead UKGI Contact Forename]],".",Table1[[#This Row],[Lead UKGI Contact Surname]],"@ukgi.org.uk")</f>
        <v>.@ukgi.org.uk</v>
      </c>
    </row>
    <row r="500" spans="1:11" ht="25.5" hidden="1" x14ac:dyDescent="0.2">
      <c r="A500" s="4" t="s">
        <v>1424</v>
      </c>
      <c r="B500" s="4" t="s">
        <v>621</v>
      </c>
      <c r="C500" s="4"/>
      <c r="D500" s="4" t="s">
        <v>110</v>
      </c>
      <c r="E500" s="2" t="s">
        <v>234</v>
      </c>
      <c r="F500" s="2" t="s">
        <v>234</v>
      </c>
      <c r="G500" s="2" t="s">
        <v>1392</v>
      </c>
      <c r="H500" s="2" t="s">
        <v>1425</v>
      </c>
      <c r="K500" s="5" t="str">
        <f>CONCATENATE(Table1[[#This Row],[Lead UKGI Contact Forename]],".",Table1[[#This Row],[Lead UKGI Contact Surname]],"@ukgi.org.uk")</f>
        <v>.@ukgi.org.uk</v>
      </c>
    </row>
    <row r="501" spans="1:11" ht="25.5" hidden="1" x14ac:dyDescent="0.2">
      <c r="A501" s="4" t="s">
        <v>1426</v>
      </c>
      <c r="B501" s="4" t="s">
        <v>1427</v>
      </c>
      <c r="C501" s="4"/>
      <c r="D501" s="4" t="s">
        <v>37</v>
      </c>
      <c r="E501" s="2" t="s">
        <v>252</v>
      </c>
      <c r="F501" s="2" t="s">
        <v>252</v>
      </c>
      <c r="G501" s="2" t="s">
        <v>1392</v>
      </c>
      <c r="H501" s="2" t="s">
        <v>1425</v>
      </c>
      <c r="K501" s="5" t="str">
        <f>CONCATENATE(Table1[[#This Row],[Lead UKGI Contact Forename]],".",Table1[[#This Row],[Lead UKGI Contact Surname]],"@ukgi.org.uk")</f>
        <v>.@ukgi.org.uk</v>
      </c>
    </row>
    <row r="502" spans="1:11" ht="25.5" x14ac:dyDescent="0.2">
      <c r="A502" s="4" t="s">
        <v>1428</v>
      </c>
      <c r="B502" s="4" t="s">
        <v>51</v>
      </c>
      <c r="C502" s="4"/>
      <c r="D502" s="4" t="s">
        <v>148</v>
      </c>
      <c r="E502" s="2" t="s">
        <v>149</v>
      </c>
      <c r="F502" s="2" t="s">
        <v>1115</v>
      </c>
      <c r="G502" s="2" t="s">
        <v>1392</v>
      </c>
      <c r="H502" s="2" t="s">
        <v>1429</v>
      </c>
      <c r="K502" s="5" t="str">
        <f>CONCATENATE(Table1[[#This Row],[Lead UKGI Contact Forename]],".",Table1[[#This Row],[Lead UKGI Contact Surname]],"@ukgi.org.uk")</f>
        <v>.@ukgi.org.uk</v>
      </c>
    </row>
    <row r="503" spans="1:11" ht="25.5" x14ac:dyDescent="0.2">
      <c r="A503" s="4" t="s">
        <v>1430</v>
      </c>
      <c r="B503" s="4" t="s">
        <v>1431</v>
      </c>
      <c r="C503" s="4"/>
      <c r="D503" s="4" t="s">
        <v>148</v>
      </c>
      <c r="E503" s="2" t="s">
        <v>1432</v>
      </c>
      <c r="F503" s="2" t="s">
        <v>1433</v>
      </c>
      <c r="G503" s="2" t="s">
        <v>1392</v>
      </c>
      <c r="H503" s="2" t="s">
        <v>1434</v>
      </c>
      <c r="K503" s="5" t="str">
        <f>CONCATENATE(Table1[[#This Row],[Lead UKGI Contact Forename]],".",Table1[[#This Row],[Lead UKGI Contact Surname]],"@ukgi.org.uk")</f>
        <v>.@ukgi.org.uk</v>
      </c>
    </row>
    <row r="504" spans="1:11" ht="38.25" hidden="1" x14ac:dyDescent="0.2">
      <c r="A504" s="4" t="s">
        <v>549</v>
      </c>
      <c r="B504" s="4" t="s">
        <v>429</v>
      </c>
      <c r="C504" s="4"/>
      <c r="D504" s="4" t="s">
        <v>211</v>
      </c>
      <c r="E504" s="2" t="s">
        <v>1435</v>
      </c>
      <c r="F504" s="2" t="s">
        <v>1435</v>
      </c>
      <c r="G504" s="2" t="s">
        <v>1392</v>
      </c>
      <c r="H504" s="2" t="s">
        <v>1436</v>
      </c>
      <c r="K504" s="5" t="str">
        <f>CONCATENATE(Table1[[#This Row],[Lead UKGI Contact Forename]],".",Table1[[#This Row],[Lead UKGI Contact Surname]],"@ukgi.org.uk")</f>
        <v>.@ukgi.org.uk</v>
      </c>
    </row>
    <row r="505" spans="1:11" ht="25.5" hidden="1" x14ac:dyDescent="0.2">
      <c r="A505" s="4" t="s">
        <v>1437</v>
      </c>
      <c r="B505" s="4" t="s">
        <v>1438</v>
      </c>
      <c r="C505" s="4"/>
      <c r="D505" s="4" t="s">
        <v>37</v>
      </c>
      <c r="E505" s="2" t="s">
        <v>1439</v>
      </c>
      <c r="F505" s="2" t="s">
        <v>234</v>
      </c>
      <c r="G505" s="2" t="s">
        <v>1392</v>
      </c>
      <c r="H505" s="2" t="s">
        <v>1440</v>
      </c>
      <c r="K505" s="5" t="str">
        <f>CONCATENATE(Table1[[#This Row],[Lead UKGI Contact Forename]],".",Table1[[#This Row],[Lead UKGI Contact Surname]],"@ukgi.org.uk")</f>
        <v>.@ukgi.org.uk</v>
      </c>
    </row>
    <row r="506" spans="1:11" ht="25.5" x14ac:dyDescent="0.2">
      <c r="A506" s="4" t="s">
        <v>1441</v>
      </c>
      <c r="B506" s="4" t="s">
        <v>300</v>
      </c>
      <c r="C506" s="4"/>
      <c r="D506" s="4" t="s">
        <v>148</v>
      </c>
      <c r="E506" s="2" t="s">
        <v>150</v>
      </c>
      <c r="F506" s="2" t="s">
        <v>1442</v>
      </c>
      <c r="G506" s="2" t="s">
        <v>1392</v>
      </c>
      <c r="H506" s="2" t="s">
        <v>1443</v>
      </c>
      <c r="K506" s="5" t="str">
        <f>CONCATENATE(Table1[[#This Row],[Lead UKGI Contact Forename]],".",Table1[[#This Row],[Lead UKGI Contact Surname]],"@ukgi.org.uk")</f>
        <v>.@ukgi.org.uk</v>
      </c>
    </row>
    <row r="507" spans="1:11" ht="25.5" hidden="1" x14ac:dyDescent="0.2">
      <c r="A507" s="4" t="s">
        <v>1444</v>
      </c>
      <c r="B507" s="4" t="s">
        <v>621</v>
      </c>
      <c r="C507" s="4" t="str">
        <f>CONCATENATE(Table1[[#This Row],[Departmental Contact Forename(s)]], ".", Table1[[#This Row],[Departmental Contact Surname]], "@cabinetoffice.gov.uk")</f>
        <v>Alan.Whitelaw@cabinetoffice.gov.uk</v>
      </c>
      <c r="D507" s="4" t="s">
        <v>37</v>
      </c>
      <c r="E507" s="2" t="s">
        <v>1445</v>
      </c>
      <c r="F507" s="2" t="s">
        <v>1446</v>
      </c>
      <c r="G507" s="2" t="s">
        <v>1447</v>
      </c>
      <c r="H507" s="2" t="s">
        <v>1447</v>
      </c>
      <c r="K507" s="5" t="str">
        <f>CONCATENATE(Table1[[#This Row],[Lead UKGI Contact Forename]],".",Table1[[#This Row],[Lead UKGI Contact Surname]],"@ukgi.org.uk")</f>
        <v>.@ukgi.org.uk</v>
      </c>
    </row>
    <row r="508" spans="1:11" ht="89.25" x14ac:dyDescent="0.2">
      <c r="A508" s="4" t="s">
        <v>1448</v>
      </c>
      <c r="B508" s="4" t="s">
        <v>1449</v>
      </c>
      <c r="C508" s="4" t="str">
        <f>CONCATENATE(Table1[[#This Row],[Departmental Contact Forename(s)]], ".", Table1[[#This Row],[Departmental Contact Surname]], "@cabinetoffice.gov.uk")</f>
        <v>Alex.Chisholm@cabinetoffice.gov.uk</v>
      </c>
      <c r="D508" s="4" t="s">
        <v>148</v>
      </c>
      <c r="E508" s="2" t="s">
        <v>1450</v>
      </c>
      <c r="F508" s="2" t="s">
        <v>1451</v>
      </c>
      <c r="G508" s="2" t="s">
        <v>1447</v>
      </c>
      <c r="H508" s="2" t="s">
        <v>1447</v>
      </c>
      <c r="K508" s="5" t="str">
        <f>CONCATENATE(Table1[[#This Row],[Lead UKGI Contact Forename]],".",Table1[[#This Row],[Lead UKGI Contact Surname]],"@ukgi.org.uk")</f>
        <v>.@ukgi.org.uk</v>
      </c>
    </row>
    <row r="509" spans="1:11" ht="165.75" hidden="1" x14ac:dyDescent="0.2">
      <c r="A509" s="4" t="s">
        <v>615</v>
      </c>
      <c r="B509" s="4" t="s">
        <v>51</v>
      </c>
      <c r="C509" s="4" t="str">
        <f>CONCATENATE(Table1[[#This Row],[Departmental Contact Forename(s)]], ".", Table1[[#This Row],[Departmental Contact Surname]], "@cabinetoffice.gov.uk")</f>
        <v>Andrew.Scott@cabinetoffice.gov.uk</v>
      </c>
      <c r="D509" s="4" t="s">
        <v>110</v>
      </c>
      <c r="E509" s="2" t="s">
        <v>1452</v>
      </c>
      <c r="F509" s="2" t="s">
        <v>1453</v>
      </c>
      <c r="G509" s="2" t="s">
        <v>1447</v>
      </c>
      <c r="H509" s="2" t="s">
        <v>1447</v>
      </c>
      <c r="K509" s="5" t="str">
        <f>CONCATENATE(Table1[[#This Row],[Lead UKGI Contact Forename]],".",Table1[[#This Row],[Lead UKGI Contact Surname]],"@ukgi.org.uk")</f>
        <v>.@ukgi.org.uk</v>
      </c>
    </row>
    <row r="510" spans="1:11" ht="25.5" hidden="1" x14ac:dyDescent="0.2">
      <c r="A510" s="4" t="s">
        <v>1454</v>
      </c>
      <c r="B510" s="4" t="s">
        <v>51</v>
      </c>
      <c r="C510" s="4" t="str">
        <f>CONCATENATE(Table1[[#This Row],[Departmental Contact Forename(s)]], ".", Table1[[#This Row],[Departmental Contact Surname]], "@cabinetoffice.gov.uk")</f>
        <v>Andrew.Forzani@cabinetoffice.gov.uk</v>
      </c>
      <c r="D510" s="4" t="s">
        <v>110</v>
      </c>
      <c r="E510" s="2" t="s">
        <v>1445</v>
      </c>
      <c r="F510" s="2" t="s">
        <v>1455</v>
      </c>
      <c r="G510" s="2" t="s">
        <v>1447</v>
      </c>
      <c r="H510" s="2" t="s">
        <v>1447</v>
      </c>
      <c r="I510" s="1" t="s">
        <v>1288</v>
      </c>
      <c r="J510" s="1" t="s">
        <v>57</v>
      </c>
      <c r="K510" s="5" t="str">
        <f>CONCATENATE(Table1[[#This Row],[Lead UKGI Contact Forename]],".",Table1[[#This Row],[Lead UKGI Contact Surname]],"@ukgi.org.uk")</f>
        <v>Hannah.Gray@ukgi.org.uk</v>
      </c>
    </row>
    <row r="511" spans="1:11" ht="25.5" hidden="1" x14ac:dyDescent="0.2">
      <c r="A511" s="4" t="s">
        <v>1456</v>
      </c>
      <c r="B511" s="4" t="s">
        <v>51</v>
      </c>
      <c r="C511" s="4" t="str">
        <f>CONCATENATE(Table1[[#This Row],[Departmental Contact Forename(s)]], ".", Table1[[#This Row],[Departmental Contact Surname]], "@cabinetoffice.gov.uk")</f>
        <v>Andrew.Hobart@cabinetoffice.gov.uk</v>
      </c>
      <c r="D511" s="4" t="s">
        <v>37</v>
      </c>
      <c r="E511" s="2" t="s">
        <v>1445</v>
      </c>
      <c r="F511" s="2" t="s">
        <v>1457</v>
      </c>
      <c r="G511" s="2" t="s">
        <v>1447</v>
      </c>
      <c r="H511" s="2" t="s">
        <v>1447</v>
      </c>
      <c r="K511" s="5" t="str">
        <f>CONCATENATE(Table1[[#This Row],[Lead UKGI Contact Forename]],".",Table1[[#This Row],[Lead UKGI Contact Surname]],"@ukgi.org.uk")</f>
        <v>.@ukgi.org.uk</v>
      </c>
    </row>
    <row r="512" spans="1:11" hidden="1" x14ac:dyDescent="0.2">
      <c r="A512" s="4" t="s">
        <v>1458</v>
      </c>
      <c r="B512" s="4" t="s">
        <v>51</v>
      </c>
      <c r="C512" s="4" t="str">
        <f>CONCATENATE(Table1[[#This Row],[Departmental Contact Forename(s)]], ".", Table1[[#This Row],[Departmental Contact Surname]], "@cabinetoffice.gov.uk")</f>
        <v>Andrew.McMinn@cabinetoffice.gov.uk</v>
      </c>
      <c r="D512" s="4" t="s">
        <v>37</v>
      </c>
      <c r="E512" s="2" t="s">
        <v>1459</v>
      </c>
      <c r="F512" s="2" t="s">
        <v>1460</v>
      </c>
      <c r="G512" s="2" t="s">
        <v>1447</v>
      </c>
      <c r="H512" s="2" t="s">
        <v>1447</v>
      </c>
      <c r="K512" s="5" t="str">
        <f>CONCATENATE(Table1[[#This Row],[Lead UKGI Contact Forename]],".",Table1[[#This Row],[Lead UKGI Contact Surname]],"@ukgi.org.uk")</f>
        <v>.@ukgi.org.uk</v>
      </c>
    </row>
    <row r="513" spans="1:11" ht="25.5" hidden="1" x14ac:dyDescent="0.2">
      <c r="A513" s="1" t="s">
        <v>1461</v>
      </c>
      <c r="B513" s="1" t="s">
        <v>51</v>
      </c>
      <c r="C513" s="4" t="str">
        <f>CONCATENATE(Table1[[#This Row],[Departmental Contact Forename(s)]], ".", Table1[[#This Row],[Departmental Contact Surname]], "@cabinetoffice.gov.uk")</f>
        <v>Andrew.Sheers@cabinetoffice.gov.uk</v>
      </c>
      <c r="D513" s="1" t="s">
        <v>60</v>
      </c>
      <c r="E513" s="5" t="s">
        <v>1462</v>
      </c>
      <c r="F513" s="5" t="s">
        <v>1463</v>
      </c>
      <c r="G513" s="2" t="s">
        <v>1447</v>
      </c>
      <c r="H513" s="2" t="s">
        <v>1447</v>
      </c>
      <c r="I513" s="1" t="s">
        <v>1464</v>
      </c>
      <c r="J513" s="1" t="s">
        <v>1322</v>
      </c>
      <c r="K513" s="5" t="str">
        <f>CONCATENATE(Table1[[#This Row],[Lead UKGI Contact Forename]],".",Table1[[#This Row],[Lead UKGI Contact Surname]],"@ukgi.org.uk")</f>
        <v>Ed.Quinn@ukgi.org.uk</v>
      </c>
    </row>
    <row r="514" spans="1:11" ht="25.5" hidden="1" x14ac:dyDescent="0.2">
      <c r="A514" s="4" t="s">
        <v>1465</v>
      </c>
      <c r="B514" s="4" t="s">
        <v>900</v>
      </c>
      <c r="C514" s="4" t="str">
        <f>CONCATENATE(Table1[[#This Row],[Departmental Contact Forename(s)]], ".", Table1[[#This Row],[Departmental Contact Surname]], "@cabinetoffice.gov.uk")</f>
        <v>Barry.Hooper@cabinetoffice.gov.uk</v>
      </c>
      <c r="D514" s="4" t="s">
        <v>37</v>
      </c>
      <c r="E514" s="2" t="s">
        <v>1466</v>
      </c>
      <c r="F514" s="2" t="s">
        <v>1467</v>
      </c>
      <c r="G514" s="2" t="s">
        <v>1447</v>
      </c>
      <c r="H514" s="2" t="s">
        <v>1447</v>
      </c>
      <c r="K514" s="5" t="str">
        <f>CONCATENATE(Table1[[#This Row],[Lead UKGI Contact Forename]],".",Table1[[#This Row],[Lead UKGI Contact Surname]],"@ukgi.org.uk")</f>
        <v>.@ukgi.org.uk</v>
      </c>
    </row>
    <row r="515" spans="1:11" ht="25.5" x14ac:dyDescent="0.2">
      <c r="A515" s="1" t="s">
        <v>1340</v>
      </c>
      <c r="B515" s="1" t="s">
        <v>1468</v>
      </c>
      <c r="C515" s="4" t="str">
        <f>CONCATENATE(Table1[[#This Row],[Departmental Contact Forename(s)]], ".", Table1[[#This Row],[Departmental Contact Surname]], "@cabinetoffice.gov.uk")</f>
        <v>Cat.Little@cabinetoffice.gov.uk</v>
      </c>
      <c r="D515" s="1" t="s">
        <v>148</v>
      </c>
      <c r="E515" s="5" t="s">
        <v>1469</v>
      </c>
      <c r="G515" s="2" t="s">
        <v>1447</v>
      </c>
      <c r="H515" s="2" t="s">
        <v>1447</v>
      </c>
      <c r="I515" s="1" t="s">
        <v>177</v>
      </c>
      <c r="J515" s="1" t="s">
        <v>178</v>
      </c>
      <c r="K515" s="5" t="str">
        <f>CONCATENATE(Table1[[#This Row],[Lead UKGI Contact Forename]],".",Table1[[#This Row],[Lead UKGI Contact Surname]],"@ukgi.org.uk")</f>
        <v>Charles.Donald@ukgi.org.uk</v>
      </c>
    </row>
    <row r="516" spans="1:11" ht="25.5" hidden="1" x14ac:dyDescent="0.2">
      <c r="A516" s="4" t="s">
        <v>1470</v>
      </c>
      <c r="B516" s="4" t="s">
        <v>1261</v>
      </c>
      <c r="C516" s="4" t="str">
        <f>CONCATENATE(Table1[[#This Row],[Departmental Contact Forename(s)]], ".", Table1[[#This Row],[Departmental Contact Surname]], "@cabinetoffice.gov.uk")</f>
        <v>Claire.Benham@cabinetoffice.gov.uk</v>
      </c>
      <c r="D516" s="4" t="s">
        <v>37</v>
      </c>
      <c r="E516" s="2" t="s">
        <v>1445</v>
      </c>
      <c r="F516" s="2" t="s">
        <v>1471</v>
      </c>
      <c r="G516" s="2" t="s">
        <v>1447</v>
      </c>
      <c r="H516" s="2" t="s">
        <v>1447</v>
      </c>
      <c r="K516" s="5" t="str">
        <f>CONCATENATE(Table1[[#This Row],[Lead UKGI Contact Forename]],".",Table1[[#This Row],[Lead UKGI Contact Surname]],"@ukgi.org.uk")</f>
        <v>.@ukgi.org.uk</v>
      </c>
    </row>
    <row r="517" spans="1:11" ht="25.5" hidden="1" x14ac:dyDescent="0.2">
      <c r="A517" s="4" t="s">
        <v>1472</v>
      </c>
      <c r="B517" s="4" t="s">
        <v>377</v>
      </c>
      <c r="C517" s="4" t="str">
        <f>CONCATENATE(Table1[[#This Row],[Departmental Contact Forename(s)]], ".", Table1[[#This Row],[Departmental Contact Surname]], "@cabinetoffice.gov.uk")</f>
        <v>Clare.Gibbs@cabinetoffice.gov.uk</v>
      </c>
      <c r="D517" s="4" t="s">
        <v>37</v>
      </c>
      <c r="E517" s="2" t="s">
        <v>1445</v>
      </c>
      <c r="F517" s="2" t="s">
        <v>1473</v>
      </c>
      <c r="G517" s="2" t="s">
        <v>1447</v>
      </c>
      <c r="H517" s="2" t="s">
        <v>1447</v>
      </c>
      <c r="I517" s="1" t="s">
        <v>1288</v>
      </c>
      <c r="J517" s="1" t="s">
        <v>57</v>
      </c>
      <c r="K517" s="5" t="str">
        <f>CONCATENATE(Table1[[#This Row],[Lead UKGI Contact Forename]],".",Table1[[#This Row],[Lead UKGI Contact Surname]],"@ukgi.org.uk")</f>
        <v>Hannah.Gray@ukgi.org.uk</v>
      </c>
    </row>
    <row r="518" spans="1:11" x14ac:dyDescent="0.2">
      <c r="A518" s="1" t="s">
        <v>1474</v>
      </c>
      <c r="B518" s="1" t="s">
        <v>325</v>
      </c>
      <c r="C518" s="4" t="str">
        <f>CONCATENATE(Table1[[#This Row],[Departmental Contact Forename(s)]], ".", Table1[[#This Row],[Departmental Contact Surname]], "@cabinetoffice.gov.uk")</f>
        <v>Christopher.Wormald@cabinetoffice.gov.uk</v>
      </c>
      <c r="D518" s="1" t="s">
        <v>148</v>
      </c>
      <c r="E518" s="5" t="s">
        <v>1475</v>
      </c>
      <c r="G518" s="2" t="s">
        <v>1447</v>
      </c>
      <c r="H518" s="2" t="s">
        <v>1447</v>
      </c>
      <c r="I518" s="1" t="s">
        <v>177</v>
      </c>
      <c r="J518" s="1" t="s">
        <v>178</v>
      </c>
      <c r="K518" s="5" t="str">
        <f>CONCATENATE(Table1[[#This Row],[Lead UKGI Contact Forename]],".",Table1[[#This Row],[Lead UKGI Contact Surname]],"@ukgi.org.uk")</f>
        <v>Charles.Donald@ukgi.org.uk</v>
      </c>
    </row>
    <row r="519" spans="1:11" ht="25.5" hidden="1" x14ac:dyDescent="0.2">
      <c r="A519" s="4" t="s">
        <v>1476</v>
      </c>
      <c r="B519" s="4" t="s">
        <v>313</v>
      </c>
      <c r="C519" s="4" t="str">
        <f>CONCATENATE(Table1[[#This Row],[Departmental Contact Forename(s)]], ".", Table1[[#This Row],[Departmental Contact Surname]], "@cabinetoffice.gov.uk")</f>
        <v>Dale.Kidson@cabinetoffice.gov.uk</v>
      </c>
      <c r="D519" s="4" t="s">
        <v>37</v>
      </c>
      <c r="E519" s="2" t="s">
        <v>1445</v>
      </c>
      <c r="F519" s="2" t="s">
        <v>1477</v>
      </c>
      <c r="G519" s="2" t="s">
        <v>1447</v>
      </c>
      <c r="H519" s="2" t="s">
        <v>1447</v>
      </c>
      <c r="K519" s="5" t="str">
        <f>CONCATENATE(Table1[[#This Row],[Lead UKGI Contact Forename]],".",Table1[[#This Row],[Lead UKGI Contact Surname]],"@ukgi.org.uk")</f>
        <v>.@ukgi.org.uk</v>
      </c>
    </row>
    <row r="520" spans="1:11" ht="25.5" hidden="1" x14ac:dyDescent="0.2">
      <c r="A520" s="4" t="s">
        <v>697</v>
      </c>
      <c r="B520" s="4" t="s">
        <v>265</v>
      </c>
      <c r="C520" s="4" t="str">
        <f>CONCATENATE(Table1[[#This Row],[Departmental Contact Forename(s)]], ".", Table1[[#This Row],[Departmental Contact Surname]], "@cabinetoffice.gov.uk")</f>
        <v>David.Taylor@cabinetoffice.gov.uk</v>
      </c>
      <c r="D520" s="4" t="s">
        <v>37</v>
      </c>
      <c r="E520" s="2" t="s">
        <v>1445</v>
      </c>
      <c r="F520" s="2" t="s">
        <v>1478</v>
      </c>
      <c r="G520" s="2" t="s">
        <v>1447</v>
      </c>
      <c r="H520" s="2" t="s">
        <v>1447</v>
      </c>
      <c r="K520" s="5" t="str">
        <f>CONCATENATE(Table1[[#This Row],[Lead UKGI Contact Forename]],".",Table1[[#This Row],[Lead UKGI Contact Surname]],"@ukgi.org.uk")</f>
        <v>.@ukgi.org.uk</v>
      </c>
    </row>
    <row r="521" spans="1:11" hidden="1" x14ac:dyDescent="0.2">
      <c r="A521" s="4" t="s">
        <v>1479</v>
      </c>
      <c r="B521" s="4" t="s">
        <v>265</v>
      </c>
      <c r="C521" s="4" t="str">
        <f>CONCATENATE(Table1[[#This Row],[Departmental Contact Forename(s)]], ".", Table1[[#This Row],[Departmental Contact Surname]], "@cabinetoffice.gov.uk")</f>
        <v>David.Howie@cabinetoffice.gov.uk</v>
      </c>
      <c r="D521" s="4" t="s">
        <v>37</v>
      </c>
      <c r="E521" s="2" t="s">
        <v>468</v>
      </c>
      <c r="F521" s="2" t="s">
        <v>1480</v>
      </c>
      <c r="G521" s="2" t="s">
        <v>1447</v>
      </c>
      <c r="H521" s="2" t="s">
        <v>1447</v>
      </c>
      <c r="K521" s="5" t="str">
        <f>CONCATENATE(Table1[[#This Row],[Lead UKGI Contact Forename]],".",Table1[[#This Row],[Lead UKGI Contact Surname]],"@ukgi.org.uk")</f>
        <v>.@ukgi.org.uk</v>
      </c>
    </row>
    <row r="522" spans="1:11" ht="25.5" hidden="1" x14ac:dyDescent="0.2">
      <c r="A522" s="4" t="s">
        <v>1481</v>
      </c>
      <c r="B522" s="4" t="s">
        <v>265</v>
      </c>
      <c r="C522" s="4" t="str">
        <f>CONCATENATE(Table1[[#This Row],[Departmental Contact Forename(s)]], ".", Table1[[#This Row],[Departmental Contact Surname]], "@cabinetoffice.gov.uk")</f>
        <v>David.Poole@cabinetoffice.gov.uk</v>
      </c>
      <c r="D522" s="4" t="s">
        <v>37</v>
      </c>
      <c r="E522" s="2" t="s">
        <v>1445</v>
      </c>
      <c r="F522" s="2" t="s">
        <v>1482</v>
      </c>
      <c r="G522" s="2" t="s">
        <v>1447</v>
      </c>
      <c r="H522" s="2" t="s">
        <v>1447</v>
      </c>
      <c r="K522" s="5" t="str">
        <f>CONCATENATE(Table1[[#This Row],[Lead UKGI Contact Forename]],".",Table1[[#This Row],[Lead UKGI Contact Surname]],"@ukgi.org.uk")</f>
        <v>.@ukgi.org.uk</v>
      </c>
    </row>
    <row r="523" spans="1:11" ht="178.5" hidden="1" x14ac:dyDescent="0.2">
      <c r="A523" s="4" t="s">
        <v>1483</v>
      </c>
      <c r="B523" s="4" t="s">
        <v>265</v>
      </c>
      <c r="C523" s="4" t="str">
        <f>CONCATENATE(Table1[[#This Row],[Departmental Contact Forename(s)]], ".", Table1[[#This Row],[Departmental Contact Surname]], "@cabinetoffice.gov.uk")</f>
        <v>David.Sprackling@cabinetoffice.gov.uk</v>
      </c>
      <c r="D523" s="4" t="s">
        <v>110</v>
      </c>
      <c r="E523" s="2" t="s">
        <v>1484</v>
      </c>
      <c r="F523" s="2" t="s">
        <v>1485</v>
      </c>
      <c r="G523" s="2" t="s">
        <v>1447</v>
      </c>
      <c r="H523" s="2" t="s">
        <v>1447</v>
      </c>
      <c r="K523" s="5" t="str">
        <f>CONCATENATE(Table1[[#This Row],[Lead UKGI Contact Forename]],".",Table1[[#This Row],[Lead UKGI Contact Surname]],"@ukgi.org.uk")</f>
        <v>.@ukgi.org.uk</v>
      </c>
    </row>
    <row r="524" spans="1:11" ht="89.25" hidden="1" x14ac:dyDescent="0.2">
      <c r="A524" s="4" t="s">
        <v>1486</v>
      </c>
      <c r="B524" s="4" t="s">
        <v>1487</v>
      </c>
      <c r="C524" s="4" t="str">
        <f>CONCATENATE(Table1[[#This Row],[Departmental Contact Forename(s)]], ".", Table1[[#This Row],[Departmental Contact Surname]], "@cabinetoffice.gov.uk")</f>
        <v>Einav.Ben-Yehuda@cabinetoffice.gov.uk</v>
      </c>
      <c r="D524" s="4" t="s">
        <v>37</v>
      </c>
      <c r="E524" s="2" t="s">
        <v>1445</v>
      </c>
      <c r="F524" s="2" t="s">
        <v>1488</v>
      </c>
      <c r="G524" s="2" t="s">
        <v>1447</v>
      </c>
      <c r="H524" s="2" t="s">
        <v>1447</v>
      </c>
      <c r="K524" s="5" t="str">
        <f>CONCATENATE(Table1[[#This Row],[Lead UKGI Contact Forename]],".",Table1[[#This Row],[Lead UKGI Contact Surname]],"@ukgi.org.uk")</f>
        <v>.@ukgi.org.uk</v>
      </c>
    </row>
    <row r="525" spans="1:11" ht="178.5" x14ac:dyDescent="0.2">
      <c r="A525" s="4" t="s">
        <v>1489</v>
      </c>
      <c r="B525" s="4" t="s">
        <v>310</v>
      </c>
      <c r="C525" s="4" t="str">
        <f>CONCATENATE(Table1[[#This Row],[Departmental Contact Forename(s)]], ".", Table1[[#This Row],[Departmental Contact Surname]], "@cabinetoffice.gov.uk")</f>
        <v>Elizabeth.Gardiner@cabinetoffice.gov.uk</v>
      </c>
      <c r="D525" s="4" t="s">
        <v>148</v>
      </c>
      <c r="E525" s="2" t="s">
        <v>1490</v>
      </c>
      <c r="F525" s="2" t="s">
        <v>1485</v>
      </c>
      <c r="G525" s="2" t="s">
        <v>1447</v>
      </c>
      <c r="H525" s="2" t="s">
        <v>1447</v>
      </c>
      <c r="K525" s="5" t="str">
        <f>CONCATENATE(Table1[[#This Row],[Lead UKGI Contact Forename]],".",Table1[[#This Row],[Lead UKGI Contact Surname]],"@ukgi.org.uk")</f>
        <v>.@ukgi.org.uk</v>
      </c>
    </row>
    <row r="526" spans="1:11" ht="25.5" hidden="1" x14ac:dyDescent="0.2">
      <c r="A526" s="4" t="s">
        <v>331</v>
      </c>
      <c r="B526" s="4" t="s">
        <v>1491</v>
      </c>
      <c r="C526" s="4" t="str">
        <f>CONCATENATE(Table1[[#This Row],[Departmental Contact Forename(s)]], ".", Table1[[#This Row],[Departmental Contact Surname]], "@cabinetoffice.gov.uk")</f>
        <v>Emma-Jane.Houghton@cabinetoffice.gov.uk</v>
      </c>
      <c r="D526" s="4" t="s">
        <v>37</v>
      </c>
      <c r="E526" s="2" t="s">
        <v>1492</v>
      </c>
      <c r="F526" s="2" t="s">
        <v>1493</v>
      </c>
      <c r="G526" s="2" t="s">
        <v>1447</v>
      </c>
      <c r="H526" s="2" t="s">
        <v>1447</v>
      </c>
      <c r="K526" s="5" t="str">
        <f>CONCATENATE(Table1[[#This Row],[Lead UKGI Contact Forename]],".",Table1[[#This Row],[Lead UKGI Contact Surname]],"@ukgi.org.uk")</f>
        <v>.@ukgi.org.uk</v>
      </c>
    </row>
    <row r="527" spans="1:11" ht="25.5" hidden="1" x14ac:dyDescent="0.2">
      <c r="A527" s="1" t="s">
        <v>1494</v>
      </c>
      <c r="B527" s="1" t="s">
        <v>483</v>
      </c>
      <c r="C527" s="4" t="str">
        <f>CONCATENATE(Table1[[#This Row],[Departmental Contact Forename(s)]], ".", Table1[[#This Row],[Departmental Contact Surname]], "@cabinetoffice.gov.uk")</f>
        <v>Emma.Churchill@cabinetoffice.gov.uk</v>
      </c>
      <c r="D527" s="1" t="s">
        <v>110</v>
      </c>
      <c r="E527" s="5" t="s">
        <v>1495</v>
      </c>
      <c r="F527" s="5" t="s">
        <v>1496</v>
      </c>
      <c r="G527" s="2" t="s">
        <v>1447</v>
      </c>
      <c r="H527" s="2" t="s">
        <v>1447</v>
      </c>
      <c r="I527" s="1" t="s">
        <v>1288</v>
      </c>
      <c r="J527" s="1" t="s">
        <v>57</v>
      </c>
      <c r="K527" s="5" t="str">
        <f>CONCATENATE(Table1[[#This Row],[Lead UKGI Contact Forename]],".",Table1[[#This Row],[Lead UKGI Contact Surname]],"@ukgi.org.uk")</f>
        <v>Hannah.Gray@ukgi.org.uk</v>
      </c>
    </row>
    <row r="528" spans="1:11" ht="127.5" hidden="1" x14ac:dyDescent="0.2">
      <c r="A528" s="4" t="s">
        <v>1497</v>
      </c>
      <c r="B528" s="4" t="s">
        <v>877</v>
      </c>
      <c r="C528" s="4" t="str">
        <f>CONCATENATE(Table1[[#This Row],[Departmental Contact Forename(s)]], ".", Table1[[#This Row],[Departmental Contact Surname]], "@cabinetoffice.gov.uk")</f>
        <v>Fiona.Ryland@cabinetoffice.gov.uk</v>
      </c>
      <c r="D528" s="4" t="s">
        <v>110</v>
      </c>
      <c r="E528" s="2" t="s">
        <v>1498</v>
      </c>
      <c r="F528" s="2" t="s">
        <v>1499</v>
      </c>
      <c r="G528" s="2" t="s">
        <v>1447</v>
      </c>
      <c r="H528" s="2" t="s">
        <v>1447</v>
      </c>
      <c r="I528" s="1" t="s">
        <v>1288</v>
      </c>
      <c r="J528" s="1" t="s">
        <v>57</v>
      </c>
      <c r="K528" s="5" t="str">
        <f>CONCATENATE(Table1[[#This Row],[Lead UKGI Contact Forename]],".",Table1[[#This Row],[Lead UKGI Contact Surname]],"@ukgi.org.uk")</f>
        <v>Hannah.Gray@ukgi.org.uk</v>
      </c>
    </row>
    <row r="529" spans="1:11" ht="63.75" hidden="1" x14ac:dyDescent="0.2">
      <c r="A529" s="4" t="s">
        <v>1500</v>
      </c>
      <c r="B529" s="4" t="s">
        <v>459</v>
      </c>
      <c r="C529" s="4" t="str">
        <f>CONCATENATE(Table1[[#This Row],[Departmental Contact Forename(s)]], ".", Table1[[#This Row],[Departmental Contact Surname]], "@cabinetoffice.gov.uk")</f>
        <v>Gareth.Rhys Williams@cabinetoffice.gov.uk</v>
      </c>
      <c r="D529" s="4" t="s">
        <v>110</v>
      </c>
      <c r="E529" s="2" t="s">
        <v>1501</v>
      </c>
      <c r="F529" s="2" t="s">
        <v>1502</v>
      </c>
      <c r="G529" s="2" t="s">
        <v>1447</v>
      </c>
      <c r="H529" s="2" t="s">
        <v>1447</v>
      </c>
      <c r="K529" s="5" t="str">
        <f>CONCATENATE(Table1[[#This Row],[Lead UKGI Contact Forename]],".",Table1[[#This Row],[Lead UKGI Contact Surname]],"@ukgi.org.uk")</f>
        <v>.@ukgi.org.uk</v>
      </c>
    </row>
    <row r="530" spans="1:11" ht="25.5" hidden="1" x14ac:dyDescent="0.2">
      <c r="A530" s="4" t="s">
        <v>1503</v>
      </c>
      <c r="B530" s="4" t="s">
        <v>459</v>
      </c>
      <c r="C530" s="4" t="str">
        <f>CONCATENATE(Table1[[#This Row],[Departmental Contact Forename(s)]], ".", Table1[[#This Row],[Departmental Contact Surname]], "@cabinetoffice.gov.uk")</f>
        <v>Gareth.Nugent@cabinetoffice.gov.uk</v>
      </c>
      <c r="D530" s="4" t="s">
        <v>37</v>
      </c>
      <c r="E530" s="2" t="s">
        <v>1445</v>
      </c>
      <c r="F530" s="2" t="s">
        <v>1504</v>
      </c>
      <c r="G530" s="2" t="s">
        <v>1447</v>
      </c>
      <c r="H530" s="2" t="s">
        <v>1447</v>
      </c>
      <c r="K530" s="5" t="str">
        <f>CONCATENATE(Table1[[#This Row],[Lead UKGI Contact Forename]],".",Table1[[#This Row],[Lead UKGI Contact Surname]],"@ukgi.org.uk")</f>
        <v>.@ukgi.org.uk</v>
      </c>
    </row>
    <row r="531" spans="1:11" ht="25.5" hidden="1" x14ac:dyDescent="0.2">
      <c r="A531" s="4" t="s">
        <v>1505</v>
      </c>
      <c r="B531" s="4" t="s">
        <v>1027</v>
      </c>
      <c r="C531" s="4" t="str">
        <f>CONCATENATE(Table1[[#This Row],[Departmental Contact Forename(s)]], ".", Table1[[#This Row],[Departmental Contact Surname]], "@cabinetoffice.gov.uk")</f>
        <v>Helen.Bates@cabinetoffice.gov.uk</v>
      </c>
      <c r="D531" s="4" t="s">
        <v>37</v>
      </c>
      <c r="E531" s="2" t="s">
        <v>1445</v>
      </c>
      <c r="F531" s="2" t="s">
        <v>1455</v>
      </c>
      <c r="G531" s="2" t="s">
        <v>1447</v>
      </c>
      <c r="H531" s="2" t="s">
        <v>1447</v>
      </c>
      <c r="K531" s="5" t="str">
        <f>CONCATENATE(Table1[[#This Row],[Lead UKGI Contact Forename]],".",Table1[[#This Row],[Lead UKGI Contact Surname]],"@ukgi.org.uk")</f>
        <v>.@ukgi.org.uk</v>
      </c>
    </row>
    <row r="532" spans="1:11" ht="25.5" hidden="1" x14ac:dyDescent="0.2">
      <c r="A532" s="1" t="s">
        <v>1506</v>
      </c>
      <c r="B532" s="1" t="s">
        <v>1507</v>
      </c>
      <c r="C532" s="4" t="str">
        <f>CONCATENATE(Table1[[#This Row],[Departmental Contact Forename(s)]], ".", Table1[[#This Row],[Departmental Contact Surname]], "@cabinetoffice.gov.uk")</f>
        <v>Jack.Cole@cabinetoffice.gov.uk</v>
      </c>
      <c r="D532" s="4" t="s">
        <v>37</v>
      </c>
      <c r="E532" s="5" t="s">
        <v>1508</v>
      </c>
      <c r="F532" s="5" t="s">
        <v>1496</v>
      </c>
      <c r="G532" s="2" t="s">
        <v>1447</v>
      </c>
      <c r="H532" s="2" t="s">
        <v>1447</v>
      </c>
      <c r="I532" s="1" t="s">
        <v>1288</v>
      </c>
      <c r="J532" s="1" t="s">
        <v>57</v>
      </c>
      <c r="K532" s="5" t="str">
        <f>CONCATENATE(Table1[[#This Row],[Lead UKGI Contact Forename]],".",Table1[[#This Row],[Lead UKGI Contact Surname]],"@ukgi.org.uk")</f>
        <v>Hannah.Gray@ukgi.org.uk</v>
      </c>
    </row>
    <row r="533" spans="1:11" hidden="1" x14ac:dyDescent="0.2">
      <c r="A533" s="1" t="s">
        <v>1509</v>
      </c>
      <c r="B533" s="1" t="s">
        <v>1510</v>
      </c>
      <c r="C533" s="4" t="str">
        <f>CONCATENATE(Table1[[#This Row],[Departmental Contact Forename(s)]], ".", Table1[[#This Row],[Departmental Contact Surname]], "@cabinetoffice.gov.uk")</f>
        <v>Jacqui.Ward@cabinetoffice.gov.uk</v>
      </c>
      <c r="D533" s="1" t="s">
        <v>37</v>
      </c>
      <c r="E533" s="5" t="s">
        <v>1511</v>
      </c>
      <c r="G533" s="2" t="s">
        <v>1447</v>
      </c>
      <c r="H533" s="2" t="s">
        <v>1447</v>
      </c>
      <c r="I533" s="1" t="s">
        <v>1512</v>
      </c>
      <c r="J533" s="1" t="s">
        <v>1449</v>
      </c>
      <c r="K533" s="5" t="str">
        <f>CONCATENATE(Table1[[#This Row],[Lead UKGI Contact Forename]],".",Table1[[#This Row],[Lead UKGI Contact Surname]],"@ukgi.org.uk")</f>
        <v>Alex.Reeves@ukgi.org.uk</v>
      </c>
    </row>
    <row r="534" spans="1:11" ht="51" hidden="1" x14ac:dyDescent="0.2">
      <c r="A534" s="4" t="s">
        <v>1513</v>
      </c>
      <c r="B534" s="4" t="s">
        <v>139</v>
      </c>
      <c r="C534" s="4" t="str">
        <f>CONCATENATE(Table1[[#This Row],[Departmental Contact Forename(s)]], ".", Table1[[#This Row],[Departmental Contact Surname]], "@cabinetoffice.gov.uk")</f>
        <v>James.Ballingall@cabinetoffice.gov.uk</v>
      </c>
      <c r="D534" s="4" t="s">
        <v>45</v>
      </c>
      <c r="E534" s="2" t="s">
        <v>1514</v>
      </c>
      <c r="F534" s="2" t="s">
        <v>1515</v>
      </c>
      <c r="G534" s="2" t="s">
        <v>1447</v>
      </c>
      <c r="H534" s="2" t="s">
        <v>1447</v>
      </c>
      <c r="K534" s="5" t="str">
        <f>CONCATENATE(Table1[[#This Row],[Lead UKGI Contact Forename]],".",Table1[[#This Row],[Lead UKGI Contact Surname]],"@ukgi.org.uk")</f>
        <v>.@ukgi.org.uk</v>
      </c>
    </row>
    <row r="535" spans="1:11" ht="25.5" hidden="1" x14ac:dyDescent="0.2">
      <c r="A535" s="4" t="s">
        <v>1516</v>
      </c>
      <c r="B535" s="4" t="s">
        <v>139</v>
      </c>
      <c r="C535" s="4" t="str">
        <f>CONCATENATE(Table1[[#This Row],[Departmental Contact Forename(s)]], ".", Table1[[#This Row],[Departmental Contact Surname]], "@cabinetoffice.gov.uk")</f>
        <v>James.Rawlings@cabinetoffice.gov.uk</v>
      </c>
      <c r="D535" s="4" t="s">
        <v>37</v>
      </c>
      <c r="E535" s="2" t="s">
        <v>1445</v>
      </c>
      <c r="F535" s="2" t="s">
        <v>1517</v>
      </c>
      <c r="G535" s="2" t="s">
        <v>1447</v>
      </c>
      <c r="H535" s="2" t="s">
        <v>1447</v>
      </c>
      <c r="K535" s="5" t="str">
        <f>CONCATENATE(Table1[[#This Row],[Lead UKGI Contact Forename]],".",Table1[[#This Row],[Lead UKGI Contact Surname]],"@ukgi.org.uk")</f>
        <v>.@ukgi.org.uk</v>
      </c>
    </row>
    <row r="536" spans="1:11" ht="25.5" hidden="1" x14ac:dyDescent="0.2">
      <c r="A536" s="4" t="s">
        <v>50</v>
      </c>
      <c r="B536" s="4" t="s">
        <v>139</v>
      </c>
      <c r="C536" s="4" t="str">
        <f>CONCATENATE(Table1[[#This Row],[Departmental Contact Forename(s)]], ".", Table1[[#This Row],[Departmental Contact Surname]], "@cabinetoffice.gov.uk")</f>
        <v>James.Carter@cabinetoffice.gov.uk</v>
      </c>
      <c r="D536" s="4" t="s">
        <v>37</v>
      </c>
      <c r="E536" s="2" t="s">
        <v>1445</v>
      </c>
      <c r="F536" s="2" t="s">
        <v>1518</v>
      </c>
      <c r="G536" s="2" t="s">
        <v>1447</v>
      </c>
      <c r="H536" s="2" t="s">
        <v>1447</v>
      </c>
      <c r="K536" s="5" t="str">
        <f>CONCATENATE(Table1[[#This Row],[Lead UKGI Contact Forename]],".",Table1[[#This Row],[Lead UKGI Contact Surname]],"@ukgi.org.uk")</f>
        <v>.@ukgi.org.uk</v>
      </c>
    </row>
    <row r="537" spans="1:11" hidden="1" x14ac:dyDescent="0.2">
      <c r="A537" s="1" t="s">
        <v>1519</v>
      </c>
      <c r="B537" s="1" t="s">
        <v>1520</v>
      </c>
      <c r="C537" s="4" t="str">
        <f>CONCATENATE(Table1[[#This Row],[Departmental Contact Forename(s)]], ".", Table1[[#This Row],[Departmental Contact Surname]], "@cabinetoffice.gov.uk")</f>
        <v>Jay.Wyatt@cabinetoffice.gov.uk</v>
      </c>
      <c r="E537" s="5" t="s">
        <v>1521</v>
      </c>
      <c r="F537" s="5" t="s">
        <v>232</v>
      </c>
      <c r="G537" s="2" t="s">
        <v>1447</v>
      </c>
      <c r="H537" s="2" t="s">
        <v>1447</v>
      </c>
      <c r="I537" s="1" t="s">
        <v>1464</v>
      </c>
      <c r="J537" s="1" t="s">
        <v>1322</v>
      </c>
      <c r="K537" s="5" t="str">
        <f>CONCATENATE(Table1[[#This Row],[Lead UKGI Contact Forename]],".",Table1[[#This Row],[Lead UKGI Contact Surname]],"@ukgi.org.uk")</f>
        <v>Ed.Quinn@ukgi.org.uk</v>
      </c>
    </row>
    <row r="538" spans="1:11" ht="76.5" hidden="1" x14ac:dyDescent="0.2">
      <c r="A538" s="4" t="s">
        <v>1522</v>
      </c>
      <c r="B538" s="4" t="s">
        <v>1523</v>
      </c>
      <c r="C538" s="4" t="str">
        <f>CONCATENATE(Table1[[#This Row],[Departmental Contact Forename(s)]], ".", Table1[[#This Row],[Departmental Contact Surname]], "@cabinetoffice.gov.uk")</f>
        <v>Jayesh.Doshi@cabinetoffice.gov.uk</v>
      </c>
      <c r="D538" s="4" t="s">
        <v>45</v>
      </c>
      <c r="E538" s="2" t="s">
        <v>1514</v>
      </c>
      <c r="F538" s="2" t="s">
        <v>1524</v>
      </c>
      <c r="G538" s="2" t="s">
        <v>1447</v>
      </c>
      <c r="H538" s="2" t="s">
        <v>1447</v>
      </c>
      <c r="K538" s="5" t="str">
        <f>CONCATENATE(Table1[[#This Row],[Lead UKGI Contact Forename]],".",Table1[[#This Row],[Lead UKGI Contact Surname]],"@ukgi.org.uk")</f>
        <v>.@ukgi.org.uk</v>
      </c>
    </row>
    <row r="539" spans="1:11" ht="25.5" hidden="1" x14ac:dyDescent="0.2">
      <c r="A539" s="4" t="s">
        <v>1525</v>
      </c>
      <c r="B539" s="4" t="s">
        <v>147</v>
      </c>
      <c r="C539" s="4" t="str">
        <f>CONCATENATE(Table1[[#This Row],[Departmental Contact Forename(s)]], ".", Table1[[#This Row],[Departmental Contact Surname]], "@cabinetoffice.gov.uk")</f>
        <v>Jonathan.Loveday@cabinetoffice.gov.uk</v>
      </c>
      <c r="D539" s="4" t="s">
        <v>37</v>
      </c>
      <c r="E539" s="2" t="s">
        <v>1526</v>
      </c>
      <c r="F539" s="2" t="s">
        <v>1527</v>
      </c>
      <c r="G539" s="2" t="s">
        <v>1447</v>
      </c>
      <c r="H539" s="2" t="s">
        <v>1447</v>
      </c>
      <c r="K539" s="5" t="str">
        <f>CONCATENATE(Table1[[#This Row],[Lead UKGI Contact Forename]],".",Table1[[#This Row],[Lead UKGI Contact Surname]],"@ukgi.org.uk")</f>
        <v>.@ukgi.org.uk</v>
      </c>
    </row>
    <row r="540" spans="1:11" ht="25.5" hidden="1" x14ac:dyDescent="0.2">
      <c r="A540" s="1" t="s">
        <v>1528</v>
      </c>
      <c r="B540" s="1" t="s">
        <v>1529</v>
      </c>
      <c r="C540" s="4" t="str">
        <f>CONCATENATE(Table1[[#This Row],[Departmental Contact Forename(s)]], ".", Table1[[#This Row],[Departmental Contact Surname]], "@cabinetoffice.gov.uk")</f>
        <v>Jules.Kirby@cabinetoffice.gov.uk</v>
      </c>
      <c r="D540" s="1" t="s">
        <v>45</v>
      </c>
      <c r="E540" s="5" t="s">
        <v>1530</v>
      </c>
      <c r="F540" s="5" t="s">
        <v>1531</v>
      </c>
      <c r="G540" s="2" t="s">
        <v>1447</v>
      </c>
      <c r="H540" s="2" t="s">
        <v>1447</v>
      </c>
      <c r="I540" s="1" t="s">
        <v>1464</v>
      </c>
      <c r="J540" s="1" t="s">
        <v>1322</v>
      </c>
      <c r="K540" s="5" t="str">
        <f>CONCATENATE(Table1[[#This Row],[Lead UKGI Contact Forename]],".",Table1[[#This Row],[Lead UKGI Contact Surname]],"@ukgi.org.uk")</f>
        <v>Ed.Quinn@ukgi.org.uk</v>
      </c>
    </row>
    <row r="541" spans="1:11" ht="25.5" hidden="1" x14ac:dyDescent="0.2">
      <c r="A541" s="4" t="s">
        <v>1532</v>
      </c>
      <c r="B541" s="4" t="s">
        <v>274</v>
      </c>
      <c r="C541" s="4" t="str">
        <f>CONCATENATE(Table1[[#This Row],[Departmental Contact Forename(s)]], ".", Table1[[#This Row],[Departmental Contact Surname]], "@cabinetoffice.gov.uk")</f>
        <v>Lee.Rimmer@cabinetoffice.gov.uk</v>
      </c>
      <c r="D541" s="4" t="s">
        <v>37</v>
      </c>
      <c r="E541" s="2" t="s">
        <v>1445</v>
      </c>
      <c r="F541" s="2" t="s">
        <v>1455</v>
      </c>
      <c r="G541" s="2" t="s">
        <v>1447</v>
      </c>
      <c r="H541" s="2" t="s">
        <v>1447</v>
      </c>
      <c r="K541" s="5" t="str">
        <f>CONCATENATE(Table1[[#This Row],[Lead UKGI Contact Forename]],".",Table1[[#This Row],[Lead UKGI Contact Surname]],"@ukgi.org.uk")</f>
        <v>.@ukgi.org.uk</v>
      </c>
    </row>
    <row r="542" spans="1:11" ht="25.5" hidden="1" x14ac:dyDescent="0.2">
      <c r="A542" s="1" t="s">
        <v>1533</v>
      </c>
      <c r="B542" s="1" t="s">
        <v>541</v>
      </c>
      <c r="C542" s="4" t="str">
        <f>CONCATENATE(Table1[[#This Row],[Departmental Contact Forename(s)]], ".", Table1[[#This Row],[Departmental Contact Surname]], "@cabinetoffice.gov.uk")</f>
        <v>Lorna.Horton@cabinetoffice.gov.uk</v>
      </c>
      <c r="D542" s="1" t="s">
        <v>45</v>
      </c>
      <c r="E542" s="5" t="s">
        <v>1534</v>
      </c>
      <c r="G542" s="2" t="s">
        <v>1447</v>
      </c>
      <c r="H542" s="2" t="s">
        <v>1447</v>
      </c>
      <c r="I542" s="1" t="s">
        <v>1535</v>
      </c>
      <c r="J542" s="1" t="s">
        <v>51</v>
      </c>
      <c r="K542" s="5" t="str">
        <f>CONCATENATE(Table1[[#This Row],[Lead UKGI Contact Forename]],".",Table1[[#This Row],[Lead UKGI Contact Surname]],"@ukgi.org.uk")</f>
        <v>Andrew.Butterworth@ukgi.org.uk</v>
      </c>
    </row>
    <row r="543" spans="1:11" ht="25.5" hidden="1" x14ac:dyDescent="0.2">
      <c r="A543" s="4" t="s">
        <v>1536</v>
      </c>
      <c r="B543" s="4" t="s">
        <v>1537</v>
      </c>
      <c r="C543" s="4" t="str">
        <f>CONCATENATE(Table1[[#This Row],[Departmental Contact Forename(s)]], ".", Table1[[#This Row],[Departmental Contact Surname]], "@cabinetoffice.gov.uk")</f>
        <v>Marco.Salzedo@cabinetoffice.gov.uk</v>
      </c>
      <c r="D543" s="4" t="s">
        <v>37</v>
      </c>
      <c r="E543" s="2" t="s">
        <v>1445</v>
      </c>
      <c r="F543" s="2" t="s">
        <v>1538</v>
      </c>
      <c r="G543" s="2" t="s">
        <v>1447</v>
      </c>
      <c r="H543" s="2" t="s">
        <v>1447</v>
      </c>
      <c r="K543" s="5" t="str">
        <f>CONCATENATE(Table1[[#This Row],[Lead UKGI Contact Forename]],".",Table1[[#This Row],[Lead UKGI Contact Surname]],"@ukgi.org.uk")</f>
        <v>.@ukgi.org.uk</v>
      </c>
    </row>
    <row r="544" spans="1:11" ht="25.5" hidden="1" x14ac:dyDescent="0.2">
      <c r="A544" s="4" t="s">
        <v>1539</v>
      </c>
      <c r="B544" s="4" t="s">
        <v>300</v>
      </c>
      <c r="C544" s="4" t="str">
        <f>CONCATENATE(Table1[[#This Row],[Departmental Contact Forename(s)]], ".", Table1[[#This Row],[Departmental Contact Surname]], "@cabinetoffice.gov.uk")</f>
        <v>Mark.Roberts@cabinetoffice.gov.uk</v>
      </c>
      <c r="D544" s="4" t="s">
        <v>37</v>
      </c>
      <c r="E544" s="2" t="s">
        <v>1540</v>
      </c>
      <c r="F544" s="2" t="s">
        <v>1541</v>
      </c>
      <c r="G544" s="2" t="s">
        <v>1447</v>
      </c>
      <c r="H544" s="2" t="s">
        <v>1447</v>
      </c>
      <c r="K544" s="5" t="str">
        <f>CONCATENATE(Table1[[#This Row],[Lead UKGI Contact Forename]],".",Table1[[#This Row],[Lead UKGI Contact Surname]],"@ukgi.org.uk")</f>
        <v>.@ukgi.org.uk</v>
      </c>
    </row>
    <row r="545" spans="1:11" ht="38.25" hidden="1" x14ac:dyDescent="0.2">
      <c r="A545" s="4" t="s">
        <v>1542</v>
      </c>
      <c r="B545" s="4" t="s">
        <v>300</v>
      </c>
      <c r="C545" s="4" t="str">
        <f>CONCATENATE(Table1[[#This Row],[Departmental Contact Forename(s)]], ".", Table1[[#This Row],[Departmental Contact Surname]], "@cabinetoffice.gov.uk")</f>
        <v>Mark.Chivers@cabinetoffice.gov.uk</v>
      </c>
      <c r="D545" s="4" t="s">
        <v>110</v>
      </c>
      <c r="E545" s="2" t="s">
        <v>1543</v>
      </c>
      <c r="F545" s="2" t="s">
        <v>1544</v>
      </c>
      <c r="G545" s="2" t="s">
        <v>1447</v>
      </c>
      <c r="H545" s="2" t="s">
        <v>1447</v>
      </c>
      <c r="I545" s="1" t="s">
        <v>1288</v>
      </c>
      <c r="J545" s="1" t="s">
        <v>57</v>
      </c>
      <c r="K545" s="5" t="str">
        <f>CONCATENATE(Table1[[#This Row],[Lead UKGI Contact Forename]],".",Table1[[#This Row],[Lead UKGI Contact Surname]],"@ukgi.org.uk")</f>
        <v>Hannah.Gray@ukgi.org.uk</v>
      </c>
    </row>
    <row r="546" spans="1:11" hidden="1" x14ac:dyDescent="0.2">
      <c r="A546" s="1" t="s">
        <v>458</v>
      </c>
      <c r="B546" s="1" t="s">
        <v>300</v>
      </c>
      <c r="C546" s="4" t="str">
        <f>CONCATENATE(Table1[[#This Row],[Departmental Contact Forename(s)]], ".", Table1[[#This Row],[Departmental Contact Surname]], "@cabinetoffice.gov.uk")</f>
        <v>Mark.Davies@cabinetoffice.gov.uk</v>
      </c>
      <c r="D546" s="1" t="s">
        <v>37</v>
      </c>
      <c r="E546" s="5" t="s">
        <v>1545</v>
      </c>
      <c r="F546" s="5" t="s">
        <v>1496</v>
      </c>
      <c r="G546" s="2" t="s">
        <v>1447</v>
      </c>
      <c r="H546" s="2" t="s">
        <v>1447</v>
      </c>
      <c r="K546" s="5" t="str">
        <f>CONCATENATE(Table1[[#This Row],[Lead UKGI Contact Forename]],".",Table1[[#This Row],[Lead UKGI Contact Surname]],"@ukgi.org.uk")</f>
        <v>.@ukgi.org.uk</v>
      </c>
    </row>
    <row r="547" spans="1:11" ht="25.5" hidden="1" x14ac:dyDescent="0.2">
      <c r="A547" s="4" t="s">
        <v>1546</v>
      </c>
      <c r="B547" s="4" t="s">
        <v>63</v>
      </c>
      <c r="C547" s="4" t="str">
        <f>CONCATENATE(Table1[[#This Row],[Departmental Contact Forename(s)]], ".", Table1[[#This Row],[Departmental Contact Surname]], "@cabinetoffice.gov.uk")</f>
        <v>Matthew.Vickerstaff@cabinetoffice.gov.uk</v>
      </c>
      <c r="D547" s="4" t="s">
        <v>37</v>
      </c>
      <c r="E547" s="2" t="s">
        <v>1547</v>
      </c>
      <c r="F547" s="2" t="s">
        <v>1548</v>
      </c>
      <c r="G547" s="2" t="s">
        <v>1447</v>
      </c>
      <c r="H547" s="2" t="s">
        <v>1447</v>
      </c>
      <c r="I547" s="1" t="s">
        <v>1288</v>
      </c>
      <c r="J547" s="1" t="s">
        <v>57</v>
      </c>
      <c r="K547" s="5" t="str">
        <f>CONCATENATE(Table1[[#This Row],[Lead UKGI Contact Forename]],".",Table1[[#This Row],[Lead UKGI Contact Surname]],"@ukgi.org.uk")</f>
        <v>Hannah.Gray@ukgi.org.uk</v>
      </c>
    </row>
    <row r="548" spans="1:11" ht="25.5" hidden="1" x14ac:dyDescent="0.2">
      <c r="A548" s="4" t="s">
        <v>192</v>
      </c>
      <c r="B548" s="4" t="s">
        <v>63</v>
      </c>
      <c r="C548" s="4" t="str">
        <f>CONCATENATE(Table1[[#This Row],[Departmental Contact Forename(s)]], ".", Table1[[#This Row],[Departmental Contact Surname]], "@cabinetoffice.gov.uk")</f>
        <v>Matthew.Bradley@cabinetoffice.gov.uk</v>
      </c>
      <c r="D548" s="4" t="s">
        <v>37</v>
      </c>
      <c r="E548" s="2" t="s">
        <v>1445</v>
      </c>
      <c r="F548" s="2" t="s">
        <v>1549</v>
      </c>
      <c r="G548" s="2" t="s">
        <v>1447</v>
      </c>
      <c r="H548" s="2" t="s">
        <v>1447</v>
      </c>
      <c r="K548" s="5" t="str">
        <f>CONCATENATE(Table1[[#This Row],[Lead UKGI Contact Forename]],".",Table1[[#This Row],[Lead UKGI Contact Surname]],"@ukgi.org.uk")</f>
        <v>.@ukgi.org.uk</v>
      </c>
    </row>
    <row r="549" spans="1:11" ht="25.5" hidden="1" x14ac:dyDescent="0.2">
      <c r="A549" s="4" t="s">
        <v>139</v>
      </c>
      <c r="B549" s="4" t="s">
        <v>63</v>
      </c>
      <c r="C549" s="4" t="str">
        <f>CONCATENATE(Table1[[#This Row],[Departmental Contact Forename(s)]], ".", Table1[[#This Row],[Departmental Contact Surname]], "@cabinetoffice.gov.uk")</f>
        <v>Matthew.James@cabinetoffice.gov.uk</v>
      </c>
      <c r="D549" s="4" t="s">
        <v>37</v>
      </c>
      <c r="E549" s="2" t="s">
        <v>1445</v>
      </c>
      <c r="F549" s="2" t="s">
        <v>1550</v>
      </c>
      <c r="G549" s="2" t="s">
        <v>1447</v>
      </c>
      <c r="H549" s="2" t="s">
        <v>1447</v>
      </c>
      <c r="K549" s="5" t="str">
        <f>CONCATENATE(Table1[[#This Row],[Lead UKGI Contact Forename]],".",Table1[[#This Row],[Lead UKGI Contact Surname]],"@ukgi.org.uk")</f>
        <v>.@ukgi.org.uk</v>
      </c>
    </row>
    <row r="550" spans="1:11" ht="25.5" hidden="1" x14ac:dyDescent="0.2">
      <c r="A550" s="4" t="s">
        <v>1551</v>
      </c>
      <c r="B550" s="4" t="s">
        <v>1000</v>
      </c>
      <c r="C550" s="4" t="str">
        <f>CONCATENATE(Table1[[#This Row],[Departmental Contact Forename(s)]], ".", Table1[[#This Row],[Departmental Contact Surname]], "@cabinetoffice.gov.uk")</f>
        <v>Max.Cairnduff@cabinetoffice.gov.uk</v>
      </c>
      <c r="D550" s="4" t="s">
        <v>37</v>
      </c>
      <c r="E550" s="2" t="s">
        <v>1445</v>
      </c>
      <c r="F550" s="2" t="s">
        <v>1552</v>
      </c>
      <c r="G550" s="2" t="s">
        <v>1447</v>
      </c>
      <c r="H550" s="2" t="s">
        <v>1447</v>
      </c>
      <c r="K550" s="5" t="str">
        <f>CONCATENATE(Table1[[#This Row],[Lead UKGI Contact Forename]],".",Table1[[#This Row],[Lead UKGI Contact Surname]],"@ukgi.org.uk")</f>
        <v>.@ukgi.org.uk</v>
      </c>
    </row>
    <row r="551" spans="1:11" hidden="1" x14ac:dyDescent="0.2">
      <c r="A551" s="4" t="s">
        <v>274</v>
      </c>
      <c r="B551" s="4" t="s">
        <v>1553</v>
      </c>
      <c r="C551" s="4" t="str">
        <f>CONCATENATE(Table1[[#This Row],[Departmental Contact Forename(s)]], ".", Table1[[#This Row],[Departmental Contact Surname]], "@cabinetoffice.gov.uk")</f>
        <v>Megan.Lee@cabinetoffice.gov.uk</v>
      </c>
      <c r="D551" s="4" t="s">
        <v>37</v>
      </c>
      <c r="E551" s="2" t="s">
        <v>1554</v>
      </c>
      <c r="F551" s="2" t="s">
        <v>1555</v>
      </c>
      <c r="G551" s="2" t="s">
        <v>1447</v>
      </c>
      <c r="H551" s="2" t="s">
        <v>1447</v>
      </c>
      <c r="K551" s="5" t="str">
        <f>CONCATENATE(Table1[[#This Row],[Lead UKGI Contact Forename]],".",Table1[[#This Row],[Lead UKGI Contact Surname]],"@ukgi.org.uk")</f>
        <v>.@ukgi.org.uk</v>
      </c>
    </row>
    <row r="552" spans="1:11" ht="25.5" hidden="1" x14ac:dyDescent="0.2">
      <c r="A552" s="4" t="s">
        <v>530</v>
      </c>
      <c r="B552" s="4" t="s">
        <v>1556</v>
      </c>
      <c r="C552" s="4" t="str">
        <f>CONCATENATE(Table1[[#This Row],[Departmental Contact Forename(s)]], ".", Table1[[#This Row],[Departmental Contact Surname]], "@cabinetoffice.gov.uk")</f>
        <v>Melinda.Johnson@cabinetoffice.gov.uk</v>
      </c>
      <c r="D552" s="4" t="s">
        <v>37</v>
      </c>
      <c r="E552" s="2" t="s">
        <v>1445</v>
      </c>
      <c r="F552" s="2" t="s">
        <v>1557</v>
      </c>
      <c r="G552" s="2" t="s">
        <v>1447</v>
      </c>
      <c r="H552" s="2" t="s">
        <v>1447</v>
      </c>
      <c r="K552" s="5" t="str">
        <f>CONCATENATE(Table1[[#This Row],[Lead UKGI Contact Forename]],".",Table1[[#This Row],[Lead UKGI Contact Surname]],"@ukgi.org.uk")</f>
        <v>.@ukgi.org.uk</v>
      </c>
    </row>
    <row r="553" spans="1:11" ht="38.25" hidden="1" x14ac:dyDescent="0.2">
      <c r="A553" s="4" t="s">
        <v>1558</v>
      </c>
      <c r="B553" s="4" t="s">
        <v>382</v>
      </c>
      <c r="C553" s="4" t="str">
        <f>CONCATENATE(Table1[[#This Row],[Departmental Contact Forename(s)]], ".", Table1[[#This Row],[Departmental Contact Surname]], "@cabinetoffice.gov.uk")</f>
        <v>Michael.Potter@cabinetoffice.gov.uk</v>
      </c>
      <c r="D553" s="4" t="s">
        <v>110</v>
      </c>
      <c r="E553" s="2" t="s">
        <v>1559</v>
      </c>
      <c r="F553" s="2" t="s">
        <v>1560</v>
      </c>
      <c r="G553" s="2" t="s">
        <v>1447</v>
      </c>
      <c r="H553" s="2" t="s">
        <v>1447</v>
      </c>
      <c r="K553" s="5" t="str">
        <f>CONCATENATE(Table1[[#This Row],[Lead UKGI Contact Forename]],".",Table1[[#This Row],[Lead UKGI Contact Surname]],"@ukgi.org.uk")</f>
        <v>.@ukgi.org.uk</v>
      </c>
    </row>
    <row r="554" spans="1:11" ht="25.5" hidden="1" x14ac:dyDescent="0.2">
      <c r="A554" s="4" t="s">
        <v>1561</v>
      </c>
      <c r="B554" s="4" t="s">
        <v>681</v>
      </c>
      <c r="C554" s="4" t="str">
        <f>CONCATENATE(Table1[[#This Row],[Departmental Contact Forename(s)]], ".", Table1[[#This Row],[Departmental Contact Surname]], "@cabinetoffice.gov.uk")</f>
        <v>Nicholas.Smallwood@cabinetoffice.gov.uk</v>
      </c>
      <c r="D554" s="4" t="s">
        <v>110</v>
      </c>
      <c r="E554" s="2" t="s">
        <v>1562</v>
      </c>
      <c r="F554" s="2" t="s">
        <v>1548</v>
      </c>
      <c r="G554" s="2" t="s">
        <v>1447</v>
      </c>
      <c r="H554" s="2" t="s">
        <v>1447</v>
      </c>
      <c r="K554" s="5" t="str">
        <f>CONCATENATE(Table1[[#This Row],[Lead UKGI Contact Forename]],".",Table1[[#This Row],[Lead UKGI Contact Surname]],"@ukgi.org.uk")</f>
        <v>.@ukgi.org.uk</v>
      </c>
    </row>
    <row r="555" spans="1:11" hidden="1" x14ac:dyDescent="0.2">
      <c r="A555" s="1" t="s">
        <v>1563</v>
      </c>
      <c r="B555" s="1" t="s">
        <v>76</v>
      </c>
      <c r="C555" s="4" t="str">
        <f>CONCATENATE(Table1[[#This Row],[Departmental Contact Forename(s)]], ".", Table1[[#This Row],[Departmental Contact Surname]], "@cabinetoffice.gov.uk")</f>
        <v>Nick.Ayling@cabinetoffice.gov.uk</v>
      </c>
      <c r="D555" s="1" t="s">
        <v>37</v>
      </c>
      <c r="E555" s="5" t="s">
        <v>1564</v>
      </c>
      <c r="F555" s="5" t="s">
        <v>1565</v>
      </c>
      <c r="G555" s="2" t="s">
        <v>1447</v>
      </c>
      <c r="H555" s="2" t="s">
        <v>1447</v>
      </c>
      <c r="I555" s="1" t="s">
        <v>1566</v>
      </c>
      <c r="J555" s="1" t="s">
        <v>79</v>
      </c>
      <c r="K555" s="5" t="str">
        <f>CONCATENATE(Table1[[#This Row],[Lead UKGI Contact Forename]],".",Table1[[#This Row],[Lead UKGI Contact Surname]],"@ukgi.org.uk")</f>
        <v>Henry.Lloyd@ukgi.org.uk</v>
      </c>
    </row>
    <row r="556" spans="1:11" ht="25.5" hidden="1" x14ac:dyDescent="0.2">
      <c r="A556" s="4" t="s">
        <v>1567</v>
      </c>
      <c r="B556" s="4" t="s">
        <v>76</v>
      </c>
      <c r="C556" s="4" t="str">
        <f>CONCATENATE(Table1[[#This Row],[Departmental Contact Forename(s)]], ".", Table1[[#This Row],[Departmental Contact Surname]], "@cabinetoffice.gov.uk")</f>
        <v>Nick.Joicey@cabinetoffice.gov.uk</v>
      </c>
      <c r="D556" s="4" t="s">
        <v>110</v>
      </c>
      <c r="E556" s="2" t="s">
        <v>1568</v>
      </c>
      <c r="F556" s="2" t="s">
        <v>1569</v>
      </c>
      <c r="G556" s="2" t="s">
        <v>1447</v>
      </c>
      <c r="H556" s="2" t="s">
        <v>1447</v>
      </c>
      <c r="K556" s="5" t="str">
        <f>CONCATENATE(Table1[[#This Row],[Lead UKGI Contact Forename]],".",Table1[[#This Row],[Lead UKGI Contact Surname]],"@ukgi.org.uk")</f>
        <v>.@ukgi.org.uk</v>
      </c>
    </row>
    <row r="557" spans="1:11" ht="25.5" hidden="1" x14ac:dyDescent="0.2">
      <c r="A557" s="4" t="s">
        <v>1570</v>
      </c>
      <c r="B557" s="4" t="s">
        <v>766</v>
      </c>
      <c r="C557" s="4" t="str">
        <f>CONCATENATE(Table1[[#This Row],[Departmental Contact Forename(s)]], ".", Table1[[#This Row],[Departmental Contact Surname]], "@cabinetoffice.gov.uk")</f>
        <v>Nigel.Herrington@cabinetoffice.gov.uk</v>
      </c>
      <c r="D557" s="4" t="s">
        <v>37</v>
      </c>
      <c r="E557" s="2" t="s">
        <v>1445</v>
      </c>
      <c r="F557" s="2" t="s">
        <v>1571</v>
      </c>
      <c r="G557" s="2" t="s">
        <v>1447</v>
      </c>
      <c r="H557" s="2" t="s">
        <v>1447</v>
      </c>
      <c r="K557" s="5" t="str">
        <f>CONCATENATE(Table1[[#This Row],[Lead UKGI Contact Forename]],".",Table1[[#This Row],[Lead UKGI Contact Surname]],"@ukgi.org.uk")</f>
        <v>.@ukgi.org.uk</v>
      </c>
    </row>
    <row r="558" spans="1:11" ht="25.5" hidden="1" x14ac:dyDescent="0.2">
      <c r="A558" s="4" t="s">
        <v>1572</v>
      </c>
      <c r="B558" s="4" t="s">
        <v>1573</v>
      </c>
      <c r="C558" s="4" t="str">
        <f>CONCATENATE(Table1[[#This Row],[Departmental Contact Forename(s)]], ".", Table1[[#This Row],[Departmental Contact Surname]], "@cabinetoffice.gov.uk")</f>
        <v>Noreen.Winhall@cabinetoffice.gov.uk</v>
      </c>
      <c r="D558" s="4" t="s">
        <v>37</v>
      </c>
      <c r="E558" s="2" t="s">
        <v>1445</v>
      </c>
      <c r="F558" s="2" t="s">
        <v>1574</v>
      </c>
      <c r="G558" s="2" t="s">
        <v>1447</v>
      </c>
      <c r="H558" s="2" t="s">
        <v>1447</v>
      </c>
      <c r="K558" s="5" t="str">
        <f>CONCATENATE(Table1[[#This Row],[Lead UKGI Contact Forename]],".",Table1[[#This Row],[Lead UKGI Contact Surname]],"@ukgi.org.uk")</f>
        <v>.@ukgi.org.uk</v>
      </c>
    </row>
    <row r="559" spans="1:11" hidden="1" x14ac:dyDescent="0.2">
      <c r="A559" s="4" t="s">
        <v>1575</v>
      </c>
      <c r="B559" s="4" t="s">
        <v>364</v>
      </c>
      <c r="C559" s="4" t="str">
        <f>CONCATENATE(Table1[[#This Row],[Departmental Contact Forename(s)]], ".", Table1[[#This Row],[Departmental Contact Surname]], "@cabinetoffice.gov.uk")</f>
        <v>Patrick.Nolan@cabinetoffice.gov.uk</v>
      </c>
      <c r="D559" s="4" t="s">
        <v>37</v>
      </c>
      <c r="E559" s="2" t="s">
        <v>1576</v>
      </c>
      <c r="F559" s="2" t="s">
        <v>1577</v>
      </c>
      <c r="G559" s="2" t="s">
        <v>1447</v>
      </c>
      <c r="H559" s="2" t="s">
        <v>1447</v>
      </c>
      <c r="K559" s="5" t="str">
        <f>CONCATENATE(Table1[[#This Row],[Lead UKGI Contact Forename]],".",Table1[[#This Row],[Lead UKGI Contact Surname]],"@ukgi.org.uk")</f>
        <v>.@ukgi.org.uk</v>
      </c>
    </row>
    <row r="560" spans="1:11" ht="25.5" hidden="1" x14ac:dyDescent="0.2">
      <c r="A560" s="4" t="s">
        <v>1578</v>
      </c>
      <c r="B560" s="4" t="s">
        <v>646</v>
      </c>
      <c r="C560" s="4" t="str">
        <f>CONCATENATE(Table1[[#This Row],[Departmental Contact Forename(s)]], ".", Table1[[#This Row],[Departmental Contact Surname]], "@cabinetoffice.gov.uk")</f>
        <v>Paul.Kellett@cabinetoffice.gov.uk</v>
      </c>
      <c r="D560" s="4" t="s">
        <v>37</v>
      </c>
      <c r="E560" s="2" t="s">
        <v>1445</v>
      </c>
      <c r="F560" s="2" t="s">
        <v>1579</v>
      </c>
      <c r="G560" s="2" t="s">
        <v>1447</v>
      </c>
      <c r="H560" s="2" t="s">
        <v>1447</v>
      </c>
      <c r="K560" s="5" t="str">
        <f>CONCATENATE(Table1[[#This Row],[Lead UKGI Contact Forename]],".",Table1[[#This Row],[Lead UKGI Contact Surname]],"@ukgi.org.uk")</f>
        <v>.@ukgi.org.uk</v>
      </c>
    </row>
    <row r="561" spans="1:11" ht="25.5" hidden="1" x14ac:dyDescent="0.2">
      <c r="A561" s="4" t="s">
        <v>1580</v>
      </c>
      <c r="B561" s="4" t="s">
        <v>646</v>
      </c>
      <c r="C561" s="4" t="str">
        <f>CONCATENATE(Table1[[#This Row],[Departmental Contact Forename(s)]], ".", Table1[[#This Row],[Departmental Contact Surname]], "@cabinetoffice.gov.uk")</f>
        <v>Paul.Bell@cabinetoffice.gov.uk</v>
      </c>
      <c r="D561" s="4" t="s">
        <v>37</v>
      </c>
      <c r="E561" s="2" t="s">
        <v>1445</v>
      </c>
      <c r="F561" s="2" t="s">
        <v>1455</v>
      </c>
      <c r="G561" s="2" t="s">
        <v>1447</v>
      </c>
      <c r="H561" s="2" t="s">
        <v>1447</v>
      </c>
      <c r="K561" s="5" t="str">
        <f>CONCATENATE(Table1[[#This Row],[Lead UKGI Contact Forename]],".",Table1[[#This Row],[Lead UKGI Contact Surname]],"@ukgi.org.uk")</f>
        <v>.@ukgi.org.uk</v>
      </c>
    </row>
    <row r="562" spans="1:11" ht="25.5" hidden="1" x14ac:dyDescent="0.2">
      <c r="A562" s="4" t="s">
        <v>1581</v>
      </c>
      <c r="B562" s="4" t="s">
        <v>303</v>
      </c>
      <c r="C562" s="4" t="str">
        <f>CONCATENATE(Table1[[#This Row],[Departmental Contact Forename(s)]], ".", Table1[[#This Row],[Departmental Contact Surname]], "@cabinetoffice.gov.uk")</f>
        <v>Philip.Orumwense@cabinetoffice.gov.uk</v>
      </c>
      <c r="D562" s="4" t="s">
        <v>37</v>
      </c>
      <c r="E562" s="2" t="s">
        <v>1445</v>
      </c>
      <c r="F562" s="2" t="s">
        <v>1582</v>
      </c>
      <c r="G562" s="2" t="s">
        <v>1447</v>
      </c>
      <c r="H562" s="2" t="s">
        <v>1447</v>
      </c>
      <c r="K562" s="5" t="str">
        <f>CONCATENATE(Table1[[#This Row],[Lead UKGI Contact Forename]],".",Table1[[#This Row],[Lead UKGI Contact Surname]],"@ukgi.org.uk")</f>
        <v>.@ukgi.org.uk</v>
      </c>
    </row>
    <row r="563" spans="1:11" hidden="1" x14ac:dyDescent="0.2">
      <c r="A563" s="4" t="s">
        <v>1583</v>
      </c>
      <c r="B563" s="4" t="s">
        <v>155</v>
      </c>
      <c r="C563" s="4" t="str">
        <f>CONCATENATE(Table1[[#This Row],[Departmental Contact Forename(s)]], ".", Table1[[#This Row],[Departmental Contact Surname]], "@cabinetoffice.gov.uk")</f>
        <v>Richard.Denney@cabinetoffice.gov.uk</v>
      </c>
      <c r="D563" s="4" t="s">
        <v>37</v>
      </c>
      <c r="E563" s="2" t="s">
        <v>1584</v>
      </c>
      <c r="F563" s="2" t="s">
        <v>1585</v>
      </c>
      <c r="G563" s="2" t="s">
        <v>1447</v>
      </c>
      <c r="H563" s="2" t="s">
        <v>1447</v>
      </c>
      <c r="K563" s="5" t="str">
        <f>CONCATENATE(Table1[[#This Row],[Lead UKGI Contact Forename]],".",Table1[[#This Row],[Lead UKGI Contact Surname]],"@ukgi.org.uk")</f>
        <v>.@ukgi.org.uk</v>
      </c>
    </row>
    <row r="564" spans="1:11" ht="25.5" hidden="1" x14ac:dyDescent="0.2">
      <c r="A564" s="4" t="s">
        <v>1586</v>
      </c>
      <c r="B564" s="4" t="s">
        <v>343</v>
      </c>
      <c r="C564" s="4" t="str">
        <f>CONCATENATE(Table1[[#This Row],[Departmental Contact Forename(s)]], ".", Table1[[#This Row],[Departmental Contact Surname]], "@cabinetoffice.gov.uk")</f>
        <v>Robert.Woodstock@cabinetoffice.gov.uk</v>
      </c>
      <c r="D564" s="4" t="s">
        <v>37</v>
      </c>
      <c r="E564" s="2" t="s">
        <v>1445</v>
      </c>
      <c r="F564" s="2" t="s">
        <v>1587</v>
      </c>
      <c r="G564" s="2" t="s">
        <v>1447</v>
      </c>
      <c r="H564" s="2" t="s">
        <v>1447</v>
      </c>
      <c r="K564" s="5" t="str">
        <f>CONCATENATE(Table1[[#This Row],[Lead UKGI Contact Forename]],".",Table1[[#This Row],[Lead UKGI Contact Surname]],"@ukgi.org.uk")</f>
        <v>.@ukgi.org.uk</v>
      </c>
    </row>
    <row r="565" spans="1:11" hidden="1" x14ac:dyDescent="0.2">
      <c r="A565" s="4" t="s">
        <v>1588</v>
      </c>
      <c r="B565" s="4" t="s">
        <v>1331</v>
      </c>
      <c r="C565" s="4" t="str">
        <f>CONCATENATE(Table1[[#This Row],[Departmental Contact Forename(s)]], ".", Table1[[#This Row],[Departmental Contact Surname]], "@cabinetoffice.gov.uk")</f>
        <v>Samantha.Ulyatt@cabinetoffice.gov.uk</v>
      </c>
      <c r="D565" s="4" t="s">
        <v>37</v>
      </c>
      <c r="E565" s="2" t="s">
        <v>468</v>
      </c>
      <c r="F565" s="2" t="s">
        <v>162</v>
      </c>
      <c r="G565" s="2" t="s">
        <v>1447</v>
      </c>
      <c r="H565" s="2" t="s">
        <v>1447</v>
      </c>
      <c r="I565" s="1" t="s">
        <v>1288</v>
      </c>
      <c r="J565" s="1" t="s">
        <v>57</v>
      </c>
      <c r="K565" s="5" t="str">
        <f>CONCATENATE(Table1[[#This Row],[Lead UKGI Contact Forename]],".",Table1[[#This Row],[Lead UKGI Contact Surname]],"@ukgi.org.uk")</f>
        <v>Hannah.Gray@ukgi.org.uk</v>
      </c>
    </row>
    <row r="566" spans="1:11" x14ac:dyDescent="0.2">
      <c r="A566" s="4" t="s">
        <v>436</v>
      </c>
      <c r="B566" s="4" t="s">
        <v>1331</v>
      </c>
      <c r="C566" s="4" t="str">
        <f>CONCATENATE(Table1[[#This Row],[Departmental Contact Forename(s)]], ".", Table1[[#This Row],[Departmental Contact Surname]], "@cabinetoffice.gov.uk")</f>
        <v>Samantha.Harrison@cabinetoffice.gov.uk</v>
      </c>
      <c r="D566" s="4" t="s">
        <v>148</v>
      </c>
      <c r="E566" s="2" t="s">
        <v>1589</v>
      </c>
      <c r="F566" s="2" t="s">
        <v>1590</v>
      </c>
      <c r="G566" s="2" t="s">
        <v>1447</v>
      </c>
      <c r="H566" s="2" t="s">
        <v>1447</v>
      </c>
      <c r="I566" s="1" t="s">
        <v>1288</v>
      </c>
      <c r="J566" s="1" t="s">
        <v>57</v>
      </c>
      <c r="K566" s="5" t="str">
        <f>CONCATENATE(Table1[[#This Row],[Lead UKGI Contact Forename]],".",Table1[[#This Row],[Lead UKGI Contact Surname]],"@ukgi.org.uk")</f>
        <v>Hannah.Gray@ukgi.org.uk</v>
      </c>
    </row>
    <row r="567" spans="1:11" ht="25.5" hidden="1" x14ac:dyDescent="0.2">
      <c r="A567" s="4" t="s">
        <v>1591</v>
      </c>
      <c r="B567" s="4" t="s">
        <v>1331</v>
      </c>
      <c r="C567" s="4" t="str">
        <f>CONCATENATE(Table1[[#This Row],[Departmental Contact Forename(s)]], ".", Table1[[#This Row],[Departmental Contact Surname]], "@cabinetoffice.gov.uk")</f>
        <v>Samantha.Bromiley@cabinetoffice.gov.uk</v>
      </c>
      <c r="D567" s="4" t="s">
        <v>37</v>
      </c>
      <c r="E567" s="2" t="s">
        <v>1445</v>
      </c>
      <c r="F567" s="2" t="s">
        <v>1592</v>
      </c>
      <c r="G567" s="2" t="s">
        <v>1447</v>
      </c>
      <c r="H567" s="2" t="s">
        <v>1447</v>
      </c>
      <c r="K567" s="5" t="str">
        <f>CONCATENATE(Table1[[#This Row],[Lead UKGI Contact Forename]],".",Table1[[#This Row],[Lead UKGI Contact Surname]],"@ukgi.org.uk")</f>
        <v>.@ukgi.org.uk</v>
      </c>
    </row>
    <row r="568" spans="1:11" ht="89.25" hidden="1" x14ac:dyDescent="0.2">
      <c r="A568" s="4" t="s">
        <v>1593</v>
      </c>
      <c r="B568" s="4" t="s">
        <v>152</v>
      </c>
      <c r="C568" s="4" t="str">
        <f>CONCATENATE(Table1[[#This Row],[Departmental Contact Forename(s)]], ".", Table1[[#This Row],[Departmental Contact Surname]], "@cabinetoffice.gov.uk")</f>
        <v>Simon.Tse@cabinetoffice.gov.uk</v>
      </c>
      <c r="D568" s="4" t="s">
        <v>110</v>
      </c>
      <c r="E568" s="2" t="s">
        <v>1594</v>
      </c>
      <c r="F568" s="2" t="s">
        <v>1595</v>
      </c>
      <c r="G568" s="2" t="s">
        <v>1447</v>
      </c>
      <c r="H568" s="2" t="s">
        <v>1447</v>
      </c>
      <c r="K568" s="5" t="str">
        <f>CONCATENATE(Table1[[#This Row],[Lead UKGI Contact Forename]],".",Table1[[#This Row],[Lead UKGI Contact Surname]],"@ukgi.org.uk")</f>
        <v>.@ukgi.org.uk</v>
      </c>
    </row>
    <row r="569" spans="1:11" ht="25.5" x14ac:dyDescent="0.2">
      <c r="A569" s="4" t="s">
        <v>1596</v>
      </c>
      <c r="B569" s="4" t="s">
        <v>152</v>
      </c>
      <c r="C569" s="4" t="str">
        <f>CONCATENATE(Table1[[#This Row],[Departmental Contact Forename(s)]], ".", Table1[[#This Row],[Departmental Contact Surname]], "@cabinetoffice.gov.uk")</f>
        <v>Simon.Gass@cabinetoffice.gov.uk</v>
      </c>
      <c r="D569" s="4" t="s">
        <v>148</v>
      </c>
      <c r="E569" s="2" t="s">
        <v>1597</v>
      </c>
      <c r="F569" s="2" t="s">
        <v>1598</v>
      </c>
      <c r="G569" s="2" t="s">
        <v>1447</v>
      </c>
      <c r="H569" s="2" t="s">
        <v>1447</v>
      </c>
      <c r="K569" s="5" t="str">
        <f>CONCATENATE(Table1[[#This Row],[Lead UKGI Contact Forename]],".",Table1[[#This Row],[Lead UKGI Contact Surname]],"@ukgi.org.uk")</f>
        <v>.@ukgi.org.uk</v>
      </c>
    </row>
    <row r="570" spans="1:11" ht="51" x14ac:dyDescent="0.2">
      <c r="A570" s="4" t="s">
        <v>1599</v>
      </c>
      <c r="B570" s="4" t="s">
        <v>152</v>
      </c>
      <c r="C570" s="4" t="str">
        <f>CONCATENATE(Table1[[#This Row],[Departmental Contact Forename(s)]], ".", Table1[[#This Row],[Departmental Contact Surname]], "@cabinetoffice.gov.uk")</f>
        <v>Simon.Case@cabinetoffice.gov.uk</v>
      </c>
      <c r="D570" s="4" t="s">
        <v>148</v>
      </c>
      <c r="E570" s="2" t="s">
        <v>1600</v>
      </c>
      <c r="F570" s="2" t="s">
        <v>1601</v>
      </c>
      <c r="G570" s="2" t="s">
        <v>1447</v>
      </c>
      <c r="H570" s="2" t="s">
        <v>1447</v>
      </c>
      <c r="K570" s="5" t="str">
        <f>CONCATENATE(Table1[[#This Row],[Lead UKGI Contact Forename]],".",Table1[[#This Row],[Lead UKGI Contact Surname]],"@ukgi.org.uk")</f>
        <v>.@ukgi.org.uk</v>
      </c>
    </row>
    <row r="571" spans="1:11" ht="25.5" hidden="1" x14ac:dyDescent="0.2">
      <c r="A571" s="4" t="s">
        <v>1602</v>
      </c>
      <c r="B571" s="4" t="s">
        <v>152</v>
      </c>
      <c r="C571" s="4" t="str">
        <f>CONCATENATE(Table1[[#This Row],[Departmental Contact Forename(s)]], ".", Table1[[#This Row],[Departmental Contact Surname]], "@cabinetoffice.gov.uk")</f>
        <v>Simon.Baugh@cabinetoffice.gov.uk</v>
      </c>
      <c r="D571" s="4" t="s">
        <v>110</v>
      </c>
      <c r="E571" s="2" t="s">
        <v>1603</v>
      </c>
      <c r="F571" s="2" t="s">
        <v>1604</v>
      </c>
      <c r="G571" s="2" t="s">
        <v>1447</v>
      </c>
      <c r="H571" s="2" t="s">
        <v>1447</v>
      </c>
      <c r="K571" s="5" t="str">
        <f>CONCATENATE(Table1[[#This Row],[Lead UKGI Contact Forename]],".",Table1[[#This Row],[Lead UKGI Contact Surname]],"@ukgi.org.uk")</f>
        <v>.@ukgi.org.uk</v>
      </c>
    </row>
    <row r="572" spans="1:11" ht="38.25" x14ac:dyDescent="0.2">
      <c r="A572" s="4" t="s">
        <v>1605</v>
      </c>
      <c r="B572" s="4" t="s">
        <v>114</v>
      </c>
      <c r="C572" s="4" t="str">
        <f>CONCATENATE(Table1[[#This Row],[Departmental Contact Forename(s)]], ".", Table1[[#This Row],[Departmental Contact Surname]], "@cabinetoffice.gov.uk")</f>
        <v>Stephen.Lovegrove@cabinetoffice.gov.uk</v>
      </c>
      <c r="D572" s="4" t="s">
        <v>148</v>
      </c>
      <c r="E572" s="2" t="s">
        <v>1606</v>
      </c>
      <c r="F572" s="2" t="s">
        <v>1607</v>
      </c>
      <c r="G572" s="2" t="s">
        <v>1447</v>
      </c>
      <c r="H572" s="2" t="s">
        <v>1447</v>
      </c>
      <c r="K572" s="5" t="str">
        <f>CONCATENATE(Table1[[#This Row],[Lead UKGI Contact Forename]],".",Table1[[#This Row],[Lead UKGI Contact Surname]],"@ukgi.org.uk")</f>
        <v>.@ukgi.org.uk</v>
      </c>
    </row>
    <row r="573" spans="1:11" hidden="1" x14ac:dyDescent="0.2">
      <c r="A573" s="4" t="s">
        <v>1608</v>
      </c>
      <c r="B573" s="4" t="s">
        <v>1609</v>
      </c>
      <c r="C573" s="4" t="str">
        <f>CONCATENATE(Table1[[#This Row],[Departmental Contact Forename(s)]], ".", Table1[[#This Row],[Departmental Contact Surname]], "@cabinetoffice.gov.uk")</f>
        <v>Stephen Philip.Oldfield@cabinetoffice.gov.uk</v>
      </c>
      <c r="D573" s="4" t="s">
        <v>110</v>
      </c>
      <c r="E573" s="2" t="s">
        <v>468</v>
      </c>
      <c r="F573" s="2" t="s">
        <v>1610</v>
      </c>
      <c r="G573" s="2" t="s">
        <v>1447</v>
      </c>
      <c r="H573" s="2" t="s">
        <v>1447</v>
      </c>
      <c r="K573" s="5" t="str">
        <f>CONCATENATE(Table1[[#This Row],[Lead UKGI Contact Forename]],".",Table1[[#This Row],[Lead UKGI Contact Surname]],"@ukgi.org.uk")</f>
        <v>.@ukgi.org.uk</v>
      </c>
    </row>
    <row r="574" spans="1:11" hidden="1" x14ac:dyDescent="0.2">
      <c r="A574" s="1" t="s">
        <v>1611</v>
      </c>
      <c r="B574" s="1" t="s">
        <v>754</v>
      </c>
      <c r="C574" s="4" t="str">
        <f>CONCATENATE(Table1[[#This Row],[Departmental Contact Forename(s)]], ".", Table1[[#This Row],[Departmental Contact Surname]], "@cabinetoffice.gov.uk")</f>
        <v>Susan.Chalmers@cabinetoffice.gov.uk</v>
      </c>
      <c r="D574" s="1" t="s">
        <v>60</v>
      </c>
      <c r="E574" s="5" t="s">
        <v>1612</v>
      </c>
      <c r="F574" s="5" t="s">
        <v>1613</v>
      </c>
      <c r="G574" s="2" t="s">
        <v>1447</v>
      </c>
      <c r="H574" s="2" t="s">
        <v>1447</v>
      </c>
      <c r="I574" s="1" t="s">
        <v>1464</v>
      </c>
      <c r="J574" s="1" t="s">
        <v>1322</v>
      </c>
      <c r="K574" s="5" t="str">
        <f>CONCATENATE(Table1[[#This Row],[Lead UKGI Contact Forename]],".",Table1[[#This Row],[Lead UKGI Contact Surname]],"@ukgi.org.uk")</f>
        <v>Ed.Quinn@ukgi.org.uk</v>
      </c>
    </row>
    <row r="575" spans="1:11" ht="38.25" x14ac:dyDescent="0.2">
      <c r="A575" s="4" t="s">
        <v>1614</v>
      </c>
      <c r="B575" s="4" t="s">
        <v>121</v>
      </c>
      <c r="C575" s="4" t="str">
        <f>CONCATENATE(Table1[[#This Row],[Departmental Contact Forename(s)]], ".", Table1[[#This Row],[Departmental Contact Surname]], "@cabinetoffice.gov.uk")</f>
        <v>Timothy.Barrow@cabinetoffice.gov.uk</v>
      </c>
      <c r="D575" s="4" t="s">
        <v>148</v>
      </c>
      <c r="E575" s="2" t="s">
        <v>1606</v>
      </c>
      <c r="F575" s="2" t="s">
        <v>1607</v>
      </c>
      <c r="G575" s="2" t="s">
        <v>1447</v>
      </c>
      <c r="H575" s="2" t="s">
        <v>1447</v>
      </c>
      <c r="K575" s="5" t="str">
        <f>CONCATENATE(Table1[[#This Row],[Lead UKGI Contact Forename]],".",Table1[[#This Row],[Lead UKGI Contact Surname]],"@ukgi.org.uk")</f>
        <v>.@ukgi.org.uk</v>
      </c>
    </row>
    <row r="576" spans="1:11" ht="25.5" x14ac:dyDescent="0.2">
      <c r="A576" s="4" t="s">
        <v>1615</v>
      </c>
      <c r="B576" s="4" t="s">
        <v>1616</v>
      </c>
      <c r="C576" s="4"/>
      <c r="D576" s="4" t="s">
        <v>148</v>
      </c>
      <c r="E576" s="2" t="s">
        <v>239</v>
      </c>
      <c r="F576" s="2" t="s">
        <v>239</v>
      </c>
      <c r="G576" s="2" t="s">
        <v>1617</v>
      </c>
      <c r="H576" s="2" t="s">
        <v>1617</v>
      </c>
      <c r="K576" s="5" t="str">
        <f>CONCATENATE(Table1[[#This Row],[Lead UKGI Contact Forename]],".",Table1[[#This Row],[Lead UKGI Contact Surname]],"@ukgi.org.uk")</f>
        <v>.@ukgi.org.uk</v>
      </c>
    </row>
    <row r="577" spans="1:11" ht="25.5" hidden="1" x14ac:dyDescent="0.2">
      <c r="A577" s="4" t="s">
        <v>1618</v>
      </c>
      <c r="B577" s="4" t="s">
        <v>1619</v>
      </c>
      <c r="C577" s="4"/>
      <c r="D577" s="4" t="s">
        <v>37</v>
      </c>
      <c r="E577" s="2" t="s">
        <v>1620</v>
      </c>
      <c r="F577" s="2" t="s">
        <v>1621</v>
      </c>
      <c r="G577" s="2" t="s">
        <v>1617</v>
      </c>
      <c r="H577" s="2" t="s">
        <v>1617</v>
      </c>
      <c r="K577" s="5" t="str">
        <f>CONCATENATE(Table1[[#This Row],[Lead UKGI Contact Forename]],".",Table1[[#This Row],[Lead UKGI Contact Surname]],"@ukgi.org.uk")</f>
        <v>.@ukgi.org.uk</v>
      </c>
    </row>
    <row r="578" spans="1:11" ht="25.5" x14ac:dyDescent="0.2">
      <c r="A578" s="4" t="s">
        <v>1622</v>
      </c>
      <c r="B578" s="4" t="s">
        <v>325</v>
      </c>
      <c r="C578" s="4"/>
      <c r="D578" s="4" t="s">
        <v>148</v>
      </c>
      <c r="E578" s="2" t="s">
        <v>208</v>
      </c>
      <c r="F578" s="2" t="s">
        <v>1623</v>
      </c>
      <c r="G578" s="2" t="s">
        <v>1617</v>
      </c>
      <c r="H578" s="2" t="s">
        <v>1617</v>
      </c>
      <c r="K578" s="5" t="str">
        <f>CONCATENATE(Table1[[#This Row],[Lead UKGI Contact Forename]],".",Table1[[#This Row],[Lead UKGI Contact Surname]],"@ukgi.org.uk")</f>
        <v>.@ukgi.org.uk</v>
      </c>
    </row>
    <row r="579" spans="1:11" ht="25.5" x14ac:dyDescent="0.2">
      <c r="A579" s="4" t="s">
        <v>1474</v>
      </c>
      <c r="B579" s="4" t="s">
        <v>135</v>
      </c>
      <c r="C579" s="4"/>
      <c r="D579" s="4" t="s">
        <v>148</v>
      </c>
      <c r="E579" s="2" t="s">
        <v>208</v>
      </c>
      <c r="F579" s="2" t="s">
        <v>208</v>
      </c>
      <c r="G579" s="2" t="s">
        <v>1617</v>
      </c>
      <c r="H579" s="2" t="s">
        <v>1617</v>
      </c>
      <c r="K579" s="5" t="str">
        <f>CONCATENATE(Table1[[#This Row],[Lead UKGI Contact Forename]],".",Table1[[#This Row],[Lead UKGI Contact Surname]],"@ukgi.org.uk")</f>
        <v>.@ukgi.org.uk</v>
      </c>
    </row>
    <row r="580" spans="1:11" ht="25.5" hidden="1" x14ac:dyDescent="0.2">
      <c r="A580" s="4" t="s">
        <v>1624</v>
      </c>
      <c r="B580" s="4" t="s">
        <v>303</v>
      </c>
      <c r="C580" s="4"/>
      <c r="D580" s="4" t="s">
        <v>37</v>
      </c>
      <c r="E580" s="2" t="s">
        <v>1625</v>
      </c>
      <c r="F580" s="2" t="s">
        <v>1626</v>
      </c>
      <c r="G580" s="2" t="s">
        <v>1617</v>
      </c>
      <c r="H580" s="2" t="s">
        <v>1617</v>
      </c>
      <c r="K580" s="5" t="str">
        <f>CONCATENATE(Table1[[#This Row],[Lead UKGI Contact Forename]],".",Table1[[#This Row],[Lead UKGI Contact Surname]],"@ukgi.org.uk")</f>
        <v>.@ukgi.org.uk</v>
      </c>
    </row>
    <row r="581" spans="1:11" ht="25.5" hidden="1" x14ac:dyDescent="0.2">
      <c r="A581" s="4" t="s">
        <v>1627</v>
      </c>
      <c r="B581" s="4" t="s">
        <v>1628</v>
      </c>
      <c r="C581" s="4"/>
      <c r="D581" s="4" t="s">
        <v>45</v>
      </c>
      <c r="E581" s="2" t="s">
        <v>1629</v>
      </c>
      <c r="F581" s="2" t="s">
        <v>1621</v>
      </c>
      <c r="G581" s="2" t="s">
        <v>1617</v>
      </c>
      <c r="H581" s="2" t="s">
        <v>1617</v>
      </c>
      <c r="K581" s="5" t="str">
        <f>CONCATENATE(Table1[[#This Row],[Lead UKGI Contact Forename]],".",Table1[[#This Row],[Lead UKGI Contact Surname]],"@ukgi.org.uk")</f>
        <v>.@ukgi.org.uk</v>
      </c>
    </row>
    <row r="582" spans="1:11" ht="25.5" hidden="1" x14ac:dyDescent="0.2">
      <c r="A582" s="4" t="s">
        <v>1630</v>
      </c>
      <c r="B582" s="4" t="s">
        <v>139</v>
      </c>
      <c r="C582" s="4"/>
      <c r="D582" s="4" t="s">
        <v>1631</v>
      </c>
      <c r="E582" s="2" t="s">
        <v>1632</v>
      </c>
      <c r="F582" s="2" t="s">
        <v>1621</v>
      </c>
      <c r="G582" s="2" t="s">
        <v>1617</v>
      </c>
      <c r="H582" s="2" t="s">
        <v>1617</v>
      </c>
      <c r="K582" s="5" t="str">
        <f>CONCATENATE(Table1[[#This Row],[Lead UKGI Contact Forename]],".",Table1[[#This Row],[Lead UKGI Contact Surname]],"@ukgi.org.uk")</f>
        <v>.@ukgi.org.uk</v>
      </c>
    </row>
    <row r="583" spans="1:11" ht="25.5" hidden="1" x14ac:dyDescent="0.2">
      <c r="A583" s="4" t="s">
        <v>1633</v>
      </c>
      <c r="B583" s="4" t="s">
        <v>896</v>
      </c>
      <c r="C583" s="4"/>
      <c r="D583" s="4" t="s">
        <v>37</v>
      </c>
      <c r="E583" s="2" t="s">
        <v>1634</v>
      </c>
      <c r="F583" s="2" t="s">
        <v>1621</v>
      </c>
      <c r="G583" s="2" t="s">
        <v>1617</v>
      </c>
      <c r="H583" s="2" t="s">
        <v>1617</v>
      </c>
      <c r="K583" s="5" t="str">
        <f>CONCATENATE(Table1[[#This Row],[Lead UKGI Contact Forename]],".",Table1[[#This Row],[Lead UKGI Contact Surname]],"@ukgi.org.uk")</f>
        <v>.@ukgi.org.uk</v>
      </c>
    </row>
    <row r="584" spans="1:11" ht="25.5" hidden="1" x14ac:dyDescent="0.2">
      <c r="A584" s="4" t="s">
        <v>1635</v>
      </c>
      <c r="B584" s="4" t="s">
        <v>1636</v>
      </c>
      <c r="C584" s="4"/>
      <c r="D584" s="4" t="s">
        <v>37</v>
      </c>
      <c r="E584" s="2" t="s">
        <v>1637</v>
      </c>
      <c r="F584" s="2" t="s">
        <v>1621</v>
      </c>
      <c r="G584" s="2" t="s">
        <v>1617</v>
      </c>
      <c r="H584" s="2" t="s">
        <v>1617</v>
      </c>
      <c r="K584" s="5" t="str">
        <f>CONCATENATE(Table1[[#This Row],[Lead UKGI Contact Forename]],".",Table1[[#This Row],[Lead UKGI Contact Surname]],"@ukgi.org.uk")</f>
        <v>.@ukgi.org.uk</v>
      </c>
    </row>
    <row r="585" spans="1:11" ht="25.5" hidden="1" x14ac:dyDescent="0.2">
      <c r="A585" s="4" t="s">
        <v>1638</v>
      </c>
      <c r="B585" s="4" t="s">
        <v>63</v>
      </c>
      <c r="C585" s="4"/>
      <c r="D585" s="4" t="s">
        <v>110</v>
      </c>
      <c r="E585" s="2" t="s">
        <v>1639</v>
      </c>
      <c r="F585" s="2" t="s">
        <v>1640</v>
      </c>
      <c r="G585" s="2" t="s">
        <v>1617</v>
      </c>
      <c r="H585" s="2" t="s">
        <v>1617</v>
      </c>
      <c r="K585" s="5" t="str">
        <f>CONCATENATE(Table1[[#This Row],[Lead UKGI Contact Forename]],".",Table1[[#This Row],[Lead UKGI Contact Surname]],"@ukgi.org.uk")</f>
        <v>.@ukgi.org.uk</v>
      </c>
    </row>
    <row r="586" spans="1:11" ht="25.5" hidden="1" x14ac:dyDescent="0.2">
      <c r="A586" s="4" t="s">
        <v>1641</v>
      </c>
      <c r="B586" s="4" t="s">
        <v>754</v>
      </c>
      <c r="C586" s="4"/>
      <c r="D586" s="4" t="s">
        <v>37</v>
      </c>
      <c r="E586" s="2" t="s">
        <v>1642</v>
      </c>
      <c r="F586" s="2" t="s">
        <v>1621</v>
      </c>
      <c r="G586" s="2" t="s">
        <v>1617</v>
      </c>
      <c r="H586" s="2" t="s">
        <v>1617</v>
      </c>
      <c r="K586" s="5" t="str">
        <f>CONCATENATE(Table1[[#This Row],[Lead UKGI Contact Forename]],".",Table1[[#This Row],[Lead UKGI Contact Surname]],"@ukgi.org.uk")</f>
        <v>.@ukgi.org.uk</v>
      </c>
    </row>
    <row r="587" spans="1:11" ht="63.75" x14ac:dyDescent="0.2">
      <c r="A587" s="4" t="s">
        <v>1643</v>
      </c>
      <c r="B587" s="4" t="s">
        <v>305</v>
      </c>
      <c r="C587" s="4"/>
      <c r="D587" s="4" t="s">
        <v>148</v>
      </c>
      <c r="E587" s="2" t="s">
        <v>234</v>
      </c>
      <c r="F587" s="2" t="s">
        <v>1644</v>
      </c>
      <c r="G587" s="2" t="s">
        <v>1617</v>
      </c>
      <c r="H587" s="2" t="s">
        <v>1645</v>
      </c>
      <c r="K587" s="5" t="str">
        <f>CONCATENATE(Table1[[#This Row],[Lead UKGI Contact Forename]],".",Table1[[#This Row],[Lead UKGI Contact Surname]],"@ukgi.org.uk")</f>
        <v>.@ukgi.org.uk</v>
      </c>
    </row>
    <row r="588" spans="1:11" ht="25.5" hidden="1" x14ac:dyDescent="0.2">
      <c r="A588" s="4" t="s">
        <v>1646</v>
      </c>
      <c r="B588" s="4" t="s">
        <v>1647</v>
      </c>
      <c r="C588" s="4"/>
      <c r="D588" s="4" t="s">
        <v>110</v>
      </c>
      <c r="E588" s="2" t="s">
        <v>1648</v>
      </c>
      <c r="F588" s="2" t="s">
        <v>1649</v>
      </c>
      <c r="G588" s="2" t="s">
        <v>1617</v>
      </c>
      <c r="H588" s="2" t="s">
        <v>1645</v>
      </c>
      <c r="K588" s="5" t="str">
        <f>CONCATENATE(Table1[[#This Row],[Lead UKGI Contact Forename]],".",Table1[[#This Row],[Lead UKGI Contact Surname]],"@ukgi.org.uk")</f>
        <v>.@ukgi.org.uk</v>
      </c>
    </row>
    <row r="589" spans="1:11" ht="38.25" hidden="1" x14ac:dyDescent="0.2">
      <c r="A589" s="4" t="s">
        <v>1650</v>
      </c>
      <c r="B589" s="4" t="s">
        <v>1651</v>
      </c>
      <c r="C589" s="4"/>
      <c r="D589" s="4" t="s">
        <v>110</v>
      </c>
      <c r="E589" s="2" t="s">
        <v>1652</v>
      </c>
      <c r="F589" s="2" t="s">
        <v>1649</v>
      </c>
      <c r="G589" s="2" t="s">
        <v>1617</v>
      </c>
      <c r="H589" s="2" t="s">
        <v>1645</v>
      </c>
      <c r="K589" s="5" t="str">
        <f>CONCATENATE(Table1[[#This Row],[Lead UKGI Contact Forename]],".",Table1[[#This Row],[Lead UKGI Contact Surname]],"@ukgi.org.uk")</f>
        <v>.@ukgi.org.uk</v>
      </c>
    </row>
    <row r="590" spans="1:11" ht="25.5" hidden="1" x14ac:dyDescent="0.2">
      <c r="A590" s="4" t="s">
        <v>1653</v>
      </c>
      <c r="B590" s="4" t="s">
        <v>103</v>
      </c>
      <c r="C590" s="4"/>
      <c r="D590" s="4" t="s">
        <v>1654</v>
      </c>
      <c r="E590" s="2" t="s">
        <v>1655</v>
      </c>
      <c r="F590" s="2" t="s">
        <v>1656</v>
      </c>
      <c r="G590" s="2" t="s">
        <v>1617</v>
      </c>
      <c r="H590" s="2" t="s">
        <v>1657</v>
      </c>
      <c r="K590" s="5" t="str">
        <f>CONCATENATE(Table1[[#This Row],[Lead UKGI Contact Forename]],".",Table1[[#This Row],[Lead UKGI Contact Surname]],"@ukgi.org.uk")</f>
        <v>.@ukgi.org.uk</v>
      </c>
    </row>
    <row r="591" spans="1:11" ht="25.5" hidden="1" x14ac:dyDescent="0.2">
      <c r="A591" s="4" t="s">
        <v>1658</v>
      </c>
      <c r="B591" s="4" t="s">
        <v>875</v>
      </c>
      <c r="C591" s="4"/>
      <c r="D591" s="4" t="s">
        <v>1654</v>
      </c>
      <c r="E591" s="2" t="s">
        <v>1659</v>
      </c>
      <c r="F591" s="2" t="s">
        <v>1656</v>
      </c>
      <c r="G591" s="2" t="s">
        <v>1617</v>
      </c>
      <c r="H591" s="2" t="s">
        <v>1657</v>
      </c>
      <c r="K591" s="5" t="str">
        <f>CONCATENATE(Table1[[#This Row],[Lead UKGI Contact Forename]],".",Table1[[#This Row],[Lead UKGI Contact Surname]],"@ukgi.org.uk")</f>
        <v>.@ukgi.org.uk</v>
      </c>
    </row>
    <row r="592" spans="1:11" ht="25.5" hidden="1" x14ac:dyDescent="0.2">
      <c r="A592" s="4" t="s">
        <v>1660</v>
      </c>
      <c r="B592" s="4" t="s">
        <v>350</v>
      </c>
      <c r="C592" s="4"/>
      <c r="D592" s="4" t="s">
        <v>1654</v>
      </c>
      <c r="E592" s="2" t="s">
        <v>1661</v>
      </c>
      <c r="F592" s="2" t="s">
        <v>248</v>
      </c>
      <c r="G592" s="2" t="s">
        <v>1617</v>
      </c>
      <c r="H592" s="2" t="s">
        <v>1657</v>
      </c>
      <c r="K592" s="5" t="str">
        <f>CONCATENATE(Table1[[#This Row],[Lead UKGI Contact Forename]],".",Table1[[#This Row],[Lead UKGI Contact Surname]],"@ukgi.org.uk")</f>
        <v>.@ukgi.org.uk</v>
      </c>
    </row>
    <row r="593" spans="1:11" ht="25.5" hidden="1" x14ac:dyDescent="0.2">
      <c r="A593" s="4" t="s">
        <v>1662</v>
      </c>
      <c r="B593" s="4" t="s">
        <v>147</v>
      </c>
      <c r="C593" s="4"/>
      <c r="D593" s="4" t="s">
        <v>1654</v>
      </c>
      <c r="E593" s="2" t="s">
        <v>1663</v>
      </c>
      <c r="F593" s="2" t="s">
        <v>1656</v>
      </c>
      <c r="G593" s="2" t="s">
        <v>1617</v>
      </c>
      <c r="H593" s="2" t="s">
        <v>1657</v>
      </c>
      <c r="K593" s="5" t="str">
        <f>CONCATENATE(Table1[[#This Row],[Lead UKGI Contact Forename]],".",Table1[[#This Row],[Lead UKGI Contact Surname]],"@ukgi.org.uk")</f>
        <v>.@ukgi.org.uk</v>
      </c>
    </row>
    <row r="594" spans="1:11" ht="25.5" hidden="1" x14ac:dyDescent="0.2">
      <c r="A594" s="4" t="s">
        <v>590</v>
      </c>
      <c r="B594" s="4" t="s">
        <v>1664</v>
      </c>
      <c r="C594" s="4"/>
      <c r="D594" s="4" t="s">
        <v>1654</v>
      </c>
      <c r="E594" s="2" t="s">
        <v>234</v>
      </c>
      <c r="F594" s="2" t="s">
        <v>903</v>
      </c>
      <c r="G594" s="2" t="s">
        <v>1617</v>
      </c>
      <c r="H594" s="2" t="s">
        <v>1657</v>
      </c>
      <c r="K594" s="5" t="str">
        <f>CONCATENATE(Table1[[#This Row],[Lead UKGI Contact Forename]],".",Table1[[#This Row],[Lead UKGI Contact Surname]],"@ukgi.org.uk")</f>
        <v>.@ukgi.org.uk</v>
      </c>
    </row>
    <row r="595" spans="1:11" ht="25.5" hidden="1" x14ac:dyDescent="0.2">
      <c r="A595" s="4" t="s">
        <v>1665</v>
      </c>
      <c r="B595" s="4" t="s">
        <v>152</v>
      </c>
      <c r="C595" s="4"/>
      <c r="D595" s="4" t="s">
        <v>1654</v>
      </c>
      <c r="E595" s="2" t="s">
        <v>1666</v>
      </c>
      <c r="F595" s="2" t="s">
        <v>1656</v>
      </c>
      <c r="G595" s="2" t="s">
        <v>1617</v>
      </c>
      <c r="H595" s="2" t="s">
        <v>1657</v>
      </c>
      <c r="K595" s="5" t="str">
        <f>CONCATENATE(Table1[[#This Row],[Lead UKGI Contact Forename]],".",Table1[[#This Row],[Lead UKGI Contact Surname]],"@ukgi.org.uk")</f>
        <v>.@ukgi.org.uk</v>
      </c>
    </row>
    <row r="596" spans="1:11" ht="25.5" hidden="1" x14ac:dyDescent="0.2">
      <c r="A596" s="4" t="s">
        <v>1667</v>
      </c>
      <c r="B596" s="4" t="s">
        <v>609</v>
      </c>
      <c r="C596" s="4"/>
      <c r="D596" s="4" t="s">
        <v>1654</v>
      </c>
      <c r="E596" s="2" t="s">
        <v>1668</v>
      </c>
      <c r="F596" s="2" t="s">
        <v>1656</v>
      </c>
      <c r="G596" s="2" t="s">
        <v>1617</v>
      </c>
      <c r="H596" s="2" t="s">
        <v>1657</v>
      </c>
      <c r="K596" s="5" t="str">
        <f>CONCATENATE(Table1[[#This Row],[Lead UKGI Contact Forename]],".",Table1[[#This Row],[Lead UKGI Contact Surname]],"@ukgi.org.uk")</f>
        <v>.@ukgi.org.uk</v>
      </c>
    </row>
    <row r="597" spans="1:11" ht="25.5" hidden="1" x14ac:dyDescent="0.2">
      <c r="A597" s="4" t="s">
        <v>1669</v>
      </c>
      <c r="B597" s="4" t="s">
        <v>1670</v>
      </c>
      <c r="C597" s="4"/>
      <c r="D597" s="4" t="s">
        <v>1654</v>
      </c>
      <c r="E597" s="2" t="s">
        <v>1668</v>
      </c>
      <c r="F597" s="2" t="s">
        <v>1656</v>
      </c>
      <c r="G597" s="2" t="s">
        <v>1617</v>
      </c>
      <c r="H597" s="2" t="s">
        <v>1657</v>
      </c>
      <c r="K597" s="5" t="str">
        <f>CONCATENATE(Table1[[#This Row],[Lead UKGI Contact Forename]],".",Table1[[#This Row],[Lead UKGI Contact Surname]],"@ukgi.org.uk")</f>
        <v>.@ukgi.org.uk</v>
      </c>
    </row>
    <row r="598" spans="1:11" ht="25.5" hidden="1" x14ac:dyDescent="0.2">
      <c r="A598" s="4" t="s">
        <v>1671</v>
      </c>
      <c r="B598" s="4" t="s">
        <v>1672</v>
      </c>
      <c r="C598" s="4"/>
      <c r="D598" s="4" t="s">
        <v>1654</v>
      </c>
      <c r="E598" s="2" t="s">
        <v>1673</v>
      </c>
      <c r="F598" s="2" t="s">
        <v>1656</v>
      </c>
      <c r="G598" s="2" t="s">
        <v>1617</v>
      </c>
      <c r="H598" s="2" t="s">
        <v>1657</v>
      </c>
      <c r="K598" s="5" t="str">
        <f>CONCATENATE(Table1[[#This Row],[Lead UKGI Contact Forename]],".",Table1[[#This Row],[Lead UKGI Contact Surname]],"@ukgi.org.uk")</f>
        <v>.@ukgi.org.uk</v>
      </c>
    </row>
    <row r="599" spans="1:11" ht="25.5" hidden="1" x14ac:dyDescent="0.2">
      <c r="A599" s="4" t="s">
        <v>1674</v>
      </c>
      <c r="B599" s="4" t="s">
        <v>661</v>
      </c>
      <c r="C599" s="4"/>
      <c r="D599" s="4" t="s">
        <v>1654</v>
      </c>
      <c r="E599" s="2" t="s">
        <v>1668</v>
      </c>
      <c r="F599" s="2" t="s">
        <v>1656</v>
      </c>
      <c r="G599" s="2" t="s">
        <v>1617</v>
      </c>
      <c r="H599" s="2" t="s">
        <v>1657</v>
      </c>
      <c r="K599" s="5" t="str">
        <f>CONCATENATE(Table1[[#This Row],[Lead UKGI Contact Forename]],".",Table1[[#This Row],[Lead UKGI Contact Surname]],"@ukgi.org.uk")</f>
        <v>.@ukgi.org.uk</v>
      </c>
    </row>
    <row r="600" spans="1:11" ht="25.5" hidden="1" x14ac:dyDescent="0.2">
      <c r="A600" s="4" t="s">
        <v>495</v>
      </c>
      <c r="B600" s="4" t="s">
        <v>554</v>
      </c>
      <c r="C600" s="4"/>
      <c r="D600" s="4" t="s">
        <v>1654</v>
      </c>
      <c r="E600" s="2" t="s">
        <v>1668</v>
      </c>
      <c r="F600" s="2" t="s">
        <v>1656</v>
      </c>
      <c r="G600" s="2" t="s">
        <v>1617</v>
      </c>
      <c r="H600" s="2" t="s">
        <v>1657</v>
      </c>
      <c r="K600" s="5" t="str">
        <f>CONCATENATE(Table1[[#This Row],[Lead UKGI Contact Forename]],".",Table1[[#This Row],[Lead UKGI Contact Surname]],"@ukgi.org.uk")</f>
        <v>.@ukgi.org.uk</v>
      </c>
    </row>
    <row r="601" spans="1:11" ht="25.5" hidden="1" x14ac:dyDescent="0.2">
      <c r="A601" s="4" t="s">
        <v>495</v>
      </c>
      <c r="B601" s="4" t="s">
        <v>575</v>
      </c>
      <c r="C601" s="4"/>
      <c r="D601" s="4" t="s">
        <v>1654</v>
      </c>
      <c r="E601" s="2" t="s">
        <v>1668</v>
      </c>
      <c r="F601" s="2" t="s">
        <v>1656</v>
      </c>
      <c r="G601" s="2" t="s">
        <v>1617</v>
      </c>
      <c r="H601" s="2" t="s">
        <v>1657</v>
      </c>
      <c r="K601" s="5" t="str">
        <f>CONCATENATE(Table1[[#This Row],[Lead UKGI Contact Forename]],".",Table1[[#This Row],[Lead UKGI Contact Surname]],"@ukgi.org.uk")</f>
        <v>.@ukgi.org.uk</v>
      </c>
    </row>
    <row r="602" spans="1:11" ht="25.5" hidden="1" x14ac:dyDescent="0.2">
      <c r="A602" s="4" t="s">
        <v>120</v>
      </c>
      <c r="B602" s="4" t="s">
        <v>1675</v>
      </c>
      <c r="C602" s="4"/>
      <c r="D602" s="4" t="s">
        <v>1654</v>
      </c>
      <c r="E602" s="2" t="s">
        <v>1676</v>
      </c>
      <c r="F602" s="2" t="s">
        <v>903</v>
      </c>
      <c r="G602" s="2" t="s">
        <v>1617</v>
      </c>
      <c r="H602" s="2" t="s">
        <v>1657</v>
      </c>
      <c r="K602" s="5" t="str">
        <f>CONCATENATE(Table1[[#This Row],[Lead UKGI Contact Forename]],".",Table1[[#This Row],[Lead UKGI Contact Surname]],"@ukgi.org.uk")</f>
        <v>.@ukgi.org.uk</v>
      </c>
    </row>
    <row r="603" spans="1:11" ht="25.5" hidden="1" x14ac:dyDescent="0.2">
      <c r="A603" s="4" t="s">
        <v>1677</v>
      </c>
      <c r="B603" s="4" t="s">
        <v>152</v>
      </c>
      <c r="C603" s="4"/>
      <c r="D603" s="4" t="s">
        <v>110</v>
      </c>
      <c r="E603" s="2" t="s">
        <v>1274</v>
      </c>
      <c r="F603" s="2" t="s">
        <v>1678</v>
      </c>
      <c r="G603" s="2" t="s">
        <v>1617</v>
      </c>
      <c r="H603" s="2" t="s">
        <v>1679</v>
      </c>
      <c r="K603" s="5" t="str">
        <f>CONCATENATE(Table1[[#This Row],[Lead UKGI Contact Forename]],".",Table1[[#This Row],[Lead UKGI Contact Surname]],"@ukgi.org.uk")</f>
        <v>.@ukgi.org.uk</v>
      </c>
    </row>
    <row r="604" spans="1:11" ht="25.5" hidden="1" x14ac:dyDescent="0.2">
      <c r="A604" s="4" t="s">
        <v>1288</v>
      </c>
      <c r="B604" s="4" t="s">
        <v>1680</v>
      </c>
      <c r="C604" s="4"/>
      <c r="D604" s="4" t="s">
        <v>37</v>
      </c>
      <c r="E604" s="2" t="s">
        <v>1681</v>
      </c>
      <c r="F604" s="2" t="s">
        <v>1682</v>
      </c>
      <c r="G604" s="2" t="s">
        <v>1617</v>
      </c>
      <c r="H604" s="2" t="s">
        <v>1679</v>
      </c>
      <c r="K604" s="5" t="str">
        <f>CONCATENATE(Table1[[#This Row],[Lead UKGI Contact Forename]],".",Table1[[#This Row],[Lead UKGI Contact Surname]],"@ukgi.org.uk")</f>
        <v>.@ukgi.org.uk</v>
      </c>
    </row>
    <row r="605" spans="1:11" ht="25.5" hidden="1" x14ac:dyDescent="0.2">
      <c r="A605" s="4" t="s">
        <v>1683</v>
      </c>
      <c r="B605" s="4" t="s">
        <v>114</v>
      </c>
      <c r="C605" s="4"/>
      <c r="D605" s="4" t="s">
        <v>211</v>
      </c>
      <c r="E605" s="2" t="s">
        <v>1684</v>
      </c>
      <c r="F605" s="2" t="s">
        <v>1685</v>
      </c>
      <c r="G605" s="2" t="s">
        <v>1617</v>
      </c>
      <c r="H605" s="2" t="s">
        <v>1679</v>
      </c>
      <c r="K605" s="5" t="str">
        <f>CONCATENATE(Table1[[#This Row],[Lead UKGI Contact Forename]],".",Table1[[#This Row],[Lead UKGI Contact Surname]],"@ukgi.org.uk")</f>
        <v>.@ukgi.org.uk</v>
      </c>
    </row>
    <row r="606" spans="1:11" ht="38.25" hidden="1" x14ac:dyDescent="0.2">
      <c r="A606" s="4" t="s">
        <v>1464</v>
      </c>
      <c r="B606" s="4" t="s">
        <v>429</v>
      </c>
      <c r="C606" s="4"/>
      <c r="D606" s="4" t="s">
        <v>37</v>
      </c>
      <c r="E606" s="2" t="s">
        <v>1686</v>
      </c>
      <c r="F606" s="2" t="s">
        <v>1687</v>
      </c>
      <c r="G606" s="2" t="s">
        <v>1617</v>
      </c>
      <c r="H606" s="2" t="s">
        <v>1679</v>
      </c>
      <c r="K606" s="5" t="str">
        <f>CONCATENATE(Table1[[#This Row],[Lead UKGI Contact Forename]],".",Table1[[#This Row],[Lead UKGI Contact Surname]],"@ukgi.org.uk")</f>
        <v>.@ukgi.org.uk</v>
      </c>
    </row>
    <row r="607" spans="1:11" ht="38.25" hidden="1" x14ac:dyDescent="0.2">
      <c r="A607" s="4" t="s">
        <v>1688</v>
      </c>
      <c r="B607" s="4" t="s">
        <v>1027</v>
      </c>
      <c r="C607" s="4"/>
      <c r="D607" s="4" t="s">
        <v>37</v>
      </c>
      <c r="E607" s="2" t="s">
        <v>1689</v>
      </c>
      <c r="F607" s="2" t="s">
        <v>1690</v>
      </c>
      <c r="G607" s="2" t="s">
        <v>1617</v>
      </c>
      <c r="H607" s="2" t="s">
        <v>1679</v>
      </c>
      <c r="K607" s="5" t="str">
        <f>CONCATENATE(Table1[[#This Row],[Lead UKGI Contact Forename]],".",Table1[[#This Row],[Lead UKGI Contact Surname]],"@ukgi.org.uk")</f>
        <v>.@ukgi.org.uk</v>
      </c>
    </row>
    <row r="608" spans="1:11" ht="25.5" hidden="1" x14ac:dyDescent="0.2">
      <c r="A608" s="4" t="s">
        <v>400</v>
      </c>
      <c r="B608" s="4" t="s">
        <v>1691</v>
      </c>
      <c r="C608" s="4"/>
      <c r="D608" s="4" t="s">
        <v>211</v>
      </c>
      <c r="E608" s="2" t="s">
        <v>1692</v>
      </c>
      <c r="F608" s="2" t="s">
        <v>1693</v>
      </c>
      <c r="G608" s="2" t="s">
        <v>1617</v>
      </c>
      <c r="H608" s="2" t="s">
        <v>1679</v>
      </c>
      <c r="K608" s="5" t="str">
        <f>CONCATENATE(Table1[[#This Row],[Lead UKGI Contact Forename]],".",Table1[[#This Row],[Lead UKGI Contact Surname]],"@ukgi.org.uk")</f>
        <v>.@ukgi.org.uk</v>
      </c>
    </row>
    <row r="609" spans="1:11" ht="25.5" hidden="1" x14ac:dyDescent="0.2">
      <c r="A609" s="4" t="s">
        <v>1694</v>
      </c>
      <c r="B609" s="4" t="s">
        <v>1695</v>
      </c>
      <c r="C609" s="4"/>
      <c r="D609" s="4" t="s">
        <v>211</v>
      </c>
      <c r="E609" s="2" t="s">
        <v>1692</v>
      </c>
      <c r="F609" s="2" t="s">
        <v>1696</v>
      </c>
      <c r="G609" s="2" t="s">
        <v>1617</v>
      </c>
      <c r="H609" s="2" t="s">
        <v>1679</v>
      </c>
      <c r="K609" s="5" t="str">
        <f>CONCATENATE(Table1[[#This Row],[Lead UKGI Contact Forename]],".",Table1[[#This Row],[Lead UKGI Contact Surname]],"@ukgi.org.uk")</f>
        <v>.@ukgi.org.uk</v>
      </c>
    </row>
    <row r="610" spans="1:11" ht="25.5" hidden="1" x14ac:dyDescent="0.2">
      <c r="A610" s="4" t="s">
        <v>499</v>
      </c>
      <c r="B610" s="4" t="s">
        <v>114</v>
      </c>
      <c r="C610" s="4"/>
      <c r="D610" s="4" t="s">
        <v>211</v>
      </c>
      <c r="E610" s="2" t="s">
        <v>1697</v>
      </c>
      <c r="F610" s="2" t="s">
        <v>1698</v>
      </c>
      <c r="G610" s="2" t="s">
        <v>1617</v>
      </c>
      <c r="H610" s="2" t="s">
        <v>1679</v>
      </c>
      <c r="K610" s="5" t="str">
        <f>CONCATENATE(Table1[[#This Row],[Lead UKGI Contact Forename]],".",Table1[[#This Row],[Lead UKGI Contact Surname]],"@ukgi.org.uk")</f>
        <v>.@ukgi.org.uk</v>
      </c>
    </row>
    <row r="611" spans="1:11" ht="25.5" hidden="1" x14ac:dyDescent="0.2">
      <c r="A611" s="4" t="s">
        <v>1699</v>
      </c>
      <c r="B611" s="4" t="s">
        <v>1700</v>
      </c>
      <c r="C611" s="4"/>
      <c r="D611" s="4" t="s">
        <v>211</v>
      </c>
      <c r="E611" s="2" t="s">
        <v>1692</v>
      </c>
      <c r="F611" s="2" t="s">
        <v>1701</v>
      </c>
      <c r="G611" s="2" t="s">
        <v>1617</v>
      </c>
      <c r="H611" s="2" t="s">
        <v>1679</v>
      </c>
      <c r="K611" s="5" t="str">
        <f>CONCATENATE(Table1[[#This Row],[Lead UKGI Contact Forename]],".",Table1[[#This Row],[Lead UKGI Contact Surname]],"@ukgi.org.uk")</f>
        <v>.@ukgi.org.uk</v>
      </c>
    </row>
    <row r="612" spans="1:11" ht="25.5" hidden="1" x14ac:dyDescent="0.2">
      <c r="A612" s="4" t="s">
        <v>1702</v>
      </c>
      <c r="B612" s="4" t="s">
        <v>1703</v>
      </c>
      <c r="C612" s="4"/>
      <c r="D612" s="4" t="s">
        <v>211</v>
      </c>
      <c r="E612" s="2" t="s">
        <v>1692</v>
      </c>
      <c r="F612" s="2" t="s">
        <v>1704</v>
      </c>
      <c r="G612" s="2" t="s">
        <v>1617</v>
      </c>
      <c r="H612" s="2" t="s">
        <v>1679</v>
      </c>
      <c r="K612" s="5" t="str">
        <f>CONCATENATE(Table1[[#This Row],[Lead UKGI Contact Forename]],".",Table1[[#This Row],[Lead UKGI Contact Surname]],"@ukgi.org.uk")</f>
        <v>.@ukgi.org.uk</v>
      </c>
    </row>
    <row r="613" spans="1:11" ht="25.5" hidden="1" x14ac:dyDescent="0.2">
      <c r="A613" s="4" t="s">
        <v>1705</v>
      </c>
      <c r="B613" s="4" t="s">
        <v>1027</v>
      </c>
      <c r="C613" s="4"/>
      <c r="D613" s="4" t="s">
        <v>211</v>
      </c>
      <c r="E613" s="2" t="s">
        <v>149</v>
      </c>
      <c r="F613" s="2" t="s">
        <v>1706</v>
      </c>
      <c r="G613" s="2" t="s">
        <v>1617</v>
      </c>
      <c r="H613" s="2" t="s">
        <v>1707</v>
      </c>
      <c r="K613" s="5" t="str">
        <f>CONCATENATE(Table1[[#This Row],[Lead UKGI Contact Forename]],".",Table1[[#This Row],[Lead UKGI Contact Surname]],"@ukgi.org.uk")</f>
        <v>.@ukgi.org.uk</v>
      </c>
    </row>
    <row r="614" spans="1:11" ht="25.5" x14ac:dyDescent="0.2">
      <c r="A614" s="4" t="s">
        <v>1708</v>
      </c>
      <c r="B614" s="4" t="s">
        <v>382</v>
      </c>
      <c r="C614" s="4"/>
      <c r="D614" s="4" t="s">
        <v>148</v>
      </c>
      <c r="E614" s="2" t="s">
        <v>234</v>
      </c>
      <c r="F614" s="2" t="s">
        <v>149</v>
      </c>
      <c r="G614" s="2" t="s">
        <v>1617</v>
      </c>
      <c r="H614" s="2" t="s">
        <v>1709</v>
      </c>
      <c r="K614" s="5" t="str">
        <f>CONCATENATE(Table1[[#This Row],[Lead UKGI Contact Forename]],".",Table1[[#This Row],[Lead UKGI Contact Surname]],"@ukgi.org.uk")</f>
        <v>.@ukgi.org.uk</v>
      </c>
    </row>
    <row r="615" spans="1:11" ht="25.5" hidden="1" x14ac:dyDescent="0.2">
      <c r="A615" s="4" t="s">
        <v>1710</v>
      </c>
      <c r="B615" s="4" t="s">
        <v>1711</v>
      </c>
      <c r="C615" s="4"/>
      <c r="D615" s="4" t="s">
        <v>37</v>
      </c>
      <c r="E615" s="2" t="s">
        <v>1712</v>
      </c>
      <c r="F615" s="2" t="s">
        <v>1713</v>
      </c>
      <c r="G615" s="2" t="s">
        <v>1617</v>
      </c>
      <c r="H615" s="2" t="s">
        <v>1714</v>
      </c>
      <c r="K615" s="5" t="str">
        <f>CONCATENATE(Table1[[#This Row],[Lead UKGI Contact Forename]],".",Table1[[#This Row],[Lead UKGI Contact Surname]],"@ukgi.org.uk")</f>
        <v>.@ukgi.org.uk</v>
      </c>
    </row>
    <row r="616" spans="1:11" ht="25.5" hidden="1" x14ac:dyDescent="0.2">
      <c r="A616" s="4" t="s">
        <v>1539</v>
      </c>
      <c r="B616" s="4" t="s">
        <v>265</v>
      </c>
      <c r="C616" s="4"/>
      <c r="D616" s="4" t="s">
        <v>211</v>
      </c>
      <c r="E616" s="2" t="s">
        <v>1715</v>
      </c>
      <c r="F616" s="2" t="s">
        <v>1713</v>
      </c>
      <c r="G616" s="2" t="s">
        <v>1617</v>
      </c>
      <c r="H616" s="2" t="s">
        <v>1714</v>
      </c>
      <c r="K616" s="5" t="str">
        <f>CONCATENATE(Table1[[#This Row],[Lead UKGI Contact Forename]],".",Table1[[#This Row],[Lead UKGI Contact Surname]],"@ukgi.org.uk")</f>
        <v>.@ukgi.org.uk</v>
      </c>
    </row>
    <row r="617" spans="1:11" ht="25.5" hidden="1" x14ac:dyDescent="0.2">
      <c r="A617" s="4" t="s">
        <v>703</v>
      </c>
      <c r="B617" s="4" t="s">
        <v>1716</v>
      </c>
      <c r="C617" s="4"/>
      <c r="D617" s="4" t="s">
        <v>211</v>
      </c>
      <c r="E617" s="2" t="s">
        <v>1717</v>
      </c>
      <c r="F617" s="2" t="s">
        <v>1713</v>
      </c>
      <c r="G617" s="2" t="s">
        <v>1617</v>
      </c>
      <c r="H617" s="2" t="s">
        <v>1714</v>
      </c>
      <c r="K617" s="5" t="str">
        <f>CONCATENATE(Table1[[#This Row],[Lead UKGI Contact Forename]],".",Table1[[#This Row],[Lead UKGI Contact Surname]],"@ukgi.org.uk")</f>
        <v>.@ukgi.org.uk</v>
      </c>
    </row>
    <row r="618" spans="1:11" ht="25.5" hidden="1" x14ac:dyDescent="0.2">
      <c r="A618" s="4" t="s">
        <v>1718</v>
      </c>
      <c r="B618" s="4" t="s">
        <v>1719</v>
      </c>
      <c r="C618" s="4"/>
      <c r="D618" s="4" t="s">
        <v>211</v>
      </c>
      <c r="E618" s="2" t="s">
        <v>1715</v>
      </c>
      <c r="F618" s="2" t="s">
        <v>1713</v>
      </c>
      <c r="G618" s="2" t="s">
        <v>1617</v>
      </c>
      <c r="H618" s="2" t="s">
        <v>1714</v>
      </c>
      <c r="K618" s="5" t="str">
        <f>CONCATENATE(Table1[[#This Row],[Lead UKGI Contact Forename]],".",Table1[[#This Row],[Lead UKGI Contact Surname]],"@ukgi.org.uk")</f>
        <v>.@ukgi.org.uk</v>
      </c>
    </row>
    <row r="619" spans="1:11" ht="25.5" hidden="1" x14ac:dyDescent="0.2">
      <c r="A619" s="4" t="s">
        <v>1720</v>
      </c>
      <c r="B619" s="4" t="s">
        <v>1721</v>
      </c>
      <c r="C619" s="4"/>
      <c r="D619" s="4" t="s">
        <v>211</v>
      </c>
      <c r="E619" s="2" t="s">
        <v>1722</v>
      </c>
      <c r="F619" s="2" t="s">
        <v>1713</v>
      </c>
      <c r="G619" s="2" t="s">
        <v>1617</v>
      </c>
      <c r="H619" s="2" t="s">
        <v>1714</v>
      </c>
      <c r="K619" s="5" t="str">
        <f>CONCATENATE(Table1[[#This Row],[Lead UKGI Contact Forename]],".",Table1[[#This Row],[Lead UKGI Contact Surname]],"@ukgi.org.uk")</f>
        <v>.@ukgi.org.uk</v>
      </c>
    </row>
    <row r="620" spans="1:11" ht="25.5" hidden="1" x14ac:dyDescent="0.2">
      <c r="A620" s="4" t="s">
        <v>277</v>
      </c>
      <c r="B620" s="4" t="s">
        <v>1723</v>
      </c>
      <c r="C620" s="4"/>
      <c r="D620" s="4" t="s">
        <v>211</v>
      </c>
      <c r="E620" s="2" t="s">
        <v>1724</v>
      </c>
      <c r="F620" s="2" t="s">
        <v>1713</v>
      </c>
      <c r="G620" s="2" t="s">
        <v>1617</v>
      </c>
      <c r="H620" s="2" t="s">
        <v>1714</v>
      </c>
      <c r="K620" s="5" t="str">
        <f>CONCATENATE(Table1[[#This Row],[Lead UKGI Contact Forename]],".",Table1[[#This Row],[Lead UKGI Contact Surname]],"@ukgi.org.uk")</f>
        <v>.@ukgi.org.uk</v>
      </c>
    </row>
    <row r="621" spans="1:11" ht="25.5" hidden="1" x14ac:dyDescent="0.2">
      <c r="A621" s="4" t="s">
        <v>593</v>
      </c>
      <c r="B621" s="4" t="s">
        <v>646</v>
      </c>
      <c r="C621" s="4"/>
      <c r="D621" s="4" t="s">
        <v>37</v>
      </c>
      <c r="E621" s="2" t="s">
        <v>1725</v>
      </c>
      <c r="F621" s="2" t="s">
        <v>1726</v>
      </c>
      <c r="G621" s="2" t="s">
        <v>1617</v>
      </c>
      <c r="H621" s="2" t="s">
        <v>1714</v>
      </c>
      <c r="K621" s="5" t="str">
        <f>CONCATENATE(Table1[[#This Row],[Lead UKGI Contact Forename]],".",Table1[[#This Row],[Lead UKGI Contact Surname]],"@ukgi.org.uk")</f>
        <v>.@ukgi.org.uk</v>
      </c>
    </row>
    <row r="622" spans="1:11" ht="25.5" hidden="1" x14ac:dyDescent="0.2">
      <c r="A622" s="4" t="s">
        <v>1727</v>
      </c>
      <c r="B622" s="4" t="s">
        <v>152</v>
      </c>
      <c r="C622" s="4"/>
      <c r="D622" s="4" t="s">
        <v>211</v>
      </c>
      <c r="E622" s="2" t="s">
        <v>1728</v>
      </c>
      <c r="F622" s="2" t="s">
        <v>1713</v>
      </c>
      <c r="G622" s="2" t="s">
        <v>1617</v>
      </c>
      <c r="H622" s="2" t="s">
        <v>1714</v>
      </c>
      <c r="K622" s="5" t="str">
        <f>CONCATENATE(Table1[[#This Row],[Lead UKGI Contact Forename]],".",Table1[[#This Row],[Lead UKGI Contact Surname]],"@ukgi.org.uk")</f>
        <v>.@ukgi.org.uk</v>
      </c>
    </row>
    <row r="623" spans="1:11" ht="25.5" hidden="1" x14ac:dyDescent="0.2">
      <c r="A623" s="4" t="s">
        <v>1729</v>
      </c>
      <c r="B623" s="4" t="s">
        <v>1263</v>
      </c>
      <c r="C623" s="4"/>
      <c r="D623" s="4" t="s">
        <v>211</v>
      </c>
      <c r="E623" s="2" t="s">
        <v>1715</v>
      </c>
      <c r="F623" s="2" t="s">
        <v>1713</v>
      </c>
      <c r="G623" s="2" t="s">
        <v>1617</v>
      </c>
      <c r="H623" s="2" t="s">
        <v>1714</v>
      </c>
      <c r="K623" s="5" t="str">
        <f>CONCATENATE(Table1[[#This Row],[Lead UKGI Contact Forename]],".",Table1[[#This Row],[Lead UKGI Contact Surname]],"@ukgi.org.uk")</f>
        <v>.@ukgi.org.uk</v>
      </c>
    </row>
    <row r="624" spans="1:11" ht="140.25" x14ac:dyDescent="0.2">
      <c r="A624" s="4" t="s">
        <v>1730</v>
      </c>
      <c r="B624" s="4" t="s">
        <v>204</v>
      </c>
      <c r="C624" s="4"/>
      <c r="D624" s="4" t="s">
        <v>148</v>
      </c>
      <c r="E624" s="2" t="s">
        <v>234</v>
      </c>
      <c r="F624" s="2" t="s">
        <v>1731</v>
      </c>
      <c r="G624" s="2" t="s">
        <v>1617</v>
      </c>
      <c r="H624" s="2" t="s">
        <v>1732</v>
      </c>
      <c r="K624" s="5" t="str">
        <f>CONCATENATE(Table1[[#This Row],[Lead UKGI Contact Forename]],".",Table1[[#This Row],[Lead UKGI Contact Surname]],"@ukgi.org.uk")</f>
        <v>.@ukgi.org.uk</v>
      </c>
    </row>
    <row r="625" spans="1:11" ht="89.25" hidden="1" x14ac:dyDescent="0.2">
      <c r="A625" s="4" t="s">
        <v>1733</v>
      </c>
      <c r="B625" s="4" t="s">
        <v>1734</v>
      </c>
      <c r="C625" s="4"/>
      <c r="D625" s="4" t="s">
        <v>110</v>
      </c>
      <c r="E625" s="2" t="s">
        <v>1125</v>
      </c>
      <c r="F625" s="2" t="s">
        <v>1735</v>
      </c>
      <c r="G625" s="2" t="s">
        <v>1617</v>
      </c>
      <c r="H625" s="2" t="s">
        <v>1732</v>
      </c>
      <c r="K625" s="5" t="str">
        <f>CONCATENATE(Table1[[#This Row],[Lead UKGI Contact Forename]],".",Table1[[#This Row],[Lead UKGI Contact Surname]],"@ukgi.org.uk")</f>
        <v>.@ukgi.org.uk</v>
      </c>
    </row>
    <row r="626" spans="1:11" ht="25.5" hidden="1" x14ac:dyDescent="0.2">
      <c r="A626" s="4" t="s">
        <v>414</v>
      </c>
      <c r="B626" s="4" t="s">
        <v>1736</v>
      </c>
      <c r="C626" s="4"/>
      <c r="D626" s="4" t="s">
        <v>110</v>
      </c>
      <c r="E626" s="2" t="s">
        <v>1737</v>
      </c>
      <c r="F626" s="2" t="s">
        <v>1738</v>
      </c>
      <c r="G626" s="2" t="s">
        <v>1617</v>
      </c>
      <c r="H626" s="2" t="s">
        <v>1732</v>
      </c>
      <c r="K626" s="5" t="str">
        <f>CONCATENATE(Table1[[#This Row],[Lead UKGI Contact Forename]],".",Table1[[#This Row],[Lead UKGI Contact Surname]],"@ukgi.org.uk")</f>
        <v>.@ukgi.org.uk</v>
      </c>
    </row>
    <row r="627" spans="1:11" ht="63.75" hidden="1" x14ac:dyDescent="0.2">
      <c r="A627" s="4" t="s">
        <v>1739</v>
      </c>
      <c r="B627" s="4" t="s">
        <v>1740</v>
      </c>
      <c r="C627" s="4"/>
      <c r="D627" s="4" t="s">
        <v>110</v>
      </c>
      <c r="E627" s="2" t="s">
        <v>468</v>
      </c>
      <c r="F627" s="2" t="s">
        <v>1741</v>
      </c>
      <c r="G627" s="2" t="s">
        <v>1617</v>
      </c>
      <c r="H627" s="2" t="s">
        <v>1732</v>
      </c>
      <c r="K627" s="5" t="str">
        <f>CONCATENATE(Table1[[#This Row],[Lead UKGI Contact Forename]],".",Table1[[#This Row],[Lead UKGI Contact Surname]],"@ukgi.org.uk")</f>
        <v>.@ukgi.org.uk</v>
      </c>
    </row>
    <row r="628" spans="1:11" ht="140.25" hidden="1" x14ac:dyDescent="0.2">
      <c r="A628" s="4" t="s">
        <v>1742</v>
      </c>
      <c r="B628" s="4" t="s">
        <v>114</v>
      </c>
      <c r="C628" s="4"/>
      <c r="D628" s="4" t="s">
        <v>110</v>
      </c>
      <c r="E628" s="2" t="s">
        <v>1743</v>
      </c>
      <c r="F628" s="2" t="s">
        <v>1744</v>
      </c>
      <c r="G628" s="2" t="s">
        <v>1617</v>
      </c>
      <c r="H628" s="2" t="s">
        <v>1732</v>
      </c>
      <c r="K628" s="5" t="str">
        <f>CONCATENATE(Table1[[#This Row],[Lead UKGI Contact Forename]],".",Table1[[#This Row],[Lead UKGI Contact Surname]],"@ukgi.org.uk")</f>
        <v>.@ukgi.org.uk</v>
      </c>
    </row>
    <row r="629" spans="1:11" ht="25.5" hidden="1" x14ac:dyDescent="0.2">
      <c r="A629" s="4" t="s">
        <v>1745</v>
      </c>
      <c r="B629" s="4" t="s">
        <v>204</v>
      </c>
      <c r="C629" s="4"/>
      <c r="D629" s="4" t="s">
        <v>110</v>
      </c>
      <c r="E629" s="2" t="s">
        <v>1746</v>
      </c>
      <c r="F629" s="2" t="s">
        <v>1747</v>
      </c>
      <c r="G629" s="2" t="s">
        <v>1617</v>
      </c>
      <c r="H629" s="2" t="s">
        <v>1732</v>
      </c>
      <c r="K629" s="5" t="str">
        <f>CONCATENATE(Table1[[#This Row],[Lead UKGI Contact Forename]],".",Table1[[#This Row],[Lead UKGI Contact Surname]],"@ukgi.org.uk")</f>
        <v>.@ukgi.org.uk</v>
      </c>
    </row>
    <row r="630" spans="1:11" ht="102" hidden="1" x14ac:dyDescent="0.2">
      <c r="A630" s="4" t="s">
        <v>243</v>
      </c>
      <c r="B630" s="4" t="s">
        <v>1748</v>
      </c>
      <c r="C630" s="4"/>
      <c r="D630" s="4" t="s">
        <v>110</v>
      </c>
      <c r="E630" s="2" t="s">
        <v>231</v>
      </c>
      <c r="F630" s="2" t="s">
        <v>1749</v>
      </c>
      <c r="G630" s="2" t="s">
        <v>1617</v>
      </c>
      <c r="H630" s="2" t="s">
        <v>1732</v>
      </c>
      <c r="K630" s="5" t="str">
        <f>CONCATENATE(Table1[[#This Row],[Lead UKGI Contact Forename]],".",Table1[[#This Row],[Lead UKGI Contact Surname]],"@ukgi.org.uk")</f>
        <v>.@ukgi.org.uk</v>
      </c>
    </row>
    <row r="631" spans="1:11" ht="25.5" hidden="1" x14ac:dyDescent="0.2">
      <c r="A631" s="4" t="s">
        <v>98</v>
      </c>
      <c r="B631" s="4" t="s">
        <v>1750</v>
      </c>
      <c r="C631" s="4"/>
      <c r="D631" s="4" t="s">
        <v>110</v>
      </c>
      <c r="E631" s="2" t="s">
        <v>1751</v>
      </c>
      <c r="F631" s="2" t="s">
        <v>1752</v>
      </c>
      <c r="G631" s="2" t="s">
        <v>1617</v>
      </c>
      <c r="H631" s="2" t="s">
        <v>1732</v>
      </c>
      <c r="K631" s="5" t="str">
        <f>CONCATENATE(Table1[[#This Row],[Lead UKGI Contact Forename]],".",Table1[[#This Row],[Lead UKGI Contact Surname]],"@ukgi.org.uk")</f>
        <v>.@ukgi.org.uk</v>
      </c>
    </row>
    <row r="632" spans="1:11" ht="140.25" hidden="1" x14ac:dyDescent="0.2">
      <c r="A632" s="4" t="s">
        <v>1753</v>
      </c>
      <c r="B632" s="4" t="s">
        <v>1754</v>
      </c>
      <c r="C632" s="4"/>
      <c r="D632" s="4" t="s">
        <v>37</v>
      </c>
      <c r="E632" s="2" t="s">
        <v>1755</v>
      </c>
      <c r="F632" s="2" t="s">
        <v>1744</v>
      </c>
      <c r="G632" s="2" t="s">
        <v>1617</v>
      </c>
      <c r="H632" s="2" t="s">
        <v>1732</v>
      </c>
      <c r="K632" s="5" t="str">
        <f>CONCATENATE(Table1[[#This Row],[Lead UKGI Contact Forename]],".",Table1[[#This Row],[Lead UKGI Contact Surname]],"@ukgi.org.uk")</f>
        <v>.@ukgi.org.uk</v>
      </c>
    </row>
    <row r="633" spans="1:11" ht="63.75" hidden="1" x14ac:dyDescent="0.2">
      <c r="A633" s="4" t="s">
        <v>1756</v>
      </c>
      <c r="B633" s="4" t="s">
        <v>1757</v>
      </c>
      <c r="C633" s="4"/>
      <c r="D633" s="4" t="s">
        <v>37</v>
      </c>
      <c r="E633" s="2" t="s">
        <v>1758</v>
      </c>
      <c r="F633" s="2" t="s">
        <v>1759</v>
      </c>
      <c r="G633" s="2" t="s">
        <v>1617</v>
      </c>
      <c r="H633" s="2" t="s">
        <v>1732</v>
      </c>
      <c r="K633" s="5" t="str">
        <f>CONCATENATE(Table1[[#This Row],[Lead UKGI Contact Forename]],".",Table1[[#This Row],[Lead UKGI Contact Surname]],"@ukgi.org.uk")</f>
        <v>.@ukgi.org.uk</v>
      </c>
    </row>
    <row r="634" spans="1:11" ht="89.25" hidden="1" x14ac:dyDescent="0.2">
      <c r="A634" s="4" t="s">
        <v>1760</v>
      </c>
      <c r="B634" s="4" t="s">
        <v>325</v>
      </c>
      <c r="C634" s="4"/>
      <c r="D634" s="4" t="s">
        <v>110</v>
      </c>
      <c r="E634" s="2" t="s">
        <v>1761</v>
      </c>
      <c r="F634" s="2" t="s">
        <v>1762</v>
      </c>
      <c r="G634" s="2" t="s">
        <v>1617</v>
      </c>
      <c r="H634" s="2" t="s">
        <v>1732</v>
      </c>
      <c r="K634" s="5" t="str">
        <f>CONCATENATE(Table1[[#This Row],[Lead UKGI Contact Forename]],".",Table1[[#This Row],[Lead UKGI Contact Surname]],"@ukgi.org.uk")</f>
        <v>.@ukgi.org.uk</v>
      </c>
    </row>
    <row r="635" spans="1:11" ht="51" hidden="1" x14ac:dyDescent="0.2">
      <c r="A635" s="4" t="s">
        <v>1763</v>
      </c>
      <c r="B635" s="4" t="s">
        <v>1628</v>
      </c>
      <c r="C635" s="4"/>
      <c r="D635" s="4" t="s">
        <v>110</v>
      </c>
      <c r="E635" s="2" t="s">
        <v>1764</v>
      </c>
      <c r="F635" s="2" t="s">
        <v>1765</v>
      </c>
      <c r="G635" s="2" t="s">
        <v>1617</v>
      </c>
      <c r="H635" s="2" t="s">
        <v>1732</v>
      </c>
      <c r="K635" s="5" t="str">
        <f>CONCATENATE(Table1[[#This Row],[Lead UKGI Contact Forename]],".",Table1[[#This Row],[Lead UKGI Contact Surname]],"@ukgi.org.uk")</f>
        <v>.@ukgi.org.uk</v>
      </c>
    </row>
    <row r="636" spans="1:11" ht="51" hidden="1" x14ac:dyDescent="0.2">
      <c r="A636" s="4" t="s">
        <v>977</v>
      </c>
      <c r="B636" s="4" t="s">
        <v>382</v>
      </c>
      <c r="C636" s="4"/>
      <c r="D636" s="4" t="s">
        <v>37</v>
      </c>
      <c r="E636" s="2" t="s">
        <v>1766</v>
      </c>
      <c r="F636" s="2" t="s">
        <v>1765</v>
      </c>
      <c r="G636" s="2" t="s">
        <v>1617</v>
      </c>
      <c r="H636" s="2" t="s">
        <v>1732</v>
      </c>
      <c r="K636" s="5" t="str">
        <f>CONCATENATE(Table1[[#This Row],[Lead UKGI Contact Forename]],".",Table1[[#This Row],[Lead UKGI Contact Surname]],"@ukgi.org.uk")</f>
        <v>.@ukgi.org.uk</v>
      </c>
    </row>
    <row r="637" spans="1:11" ht="51" hidden="1" x14ac:dyDescent="0.2">
      <c r="A637" s="4" t="s">
        <v>1767</v>
      </c>
      <c r="B637" s="4" t="s">
        <v>155</v>
      </c>
      <c r="C637" s="4"/>
      <c r="D637" s="4" t="s">
        <v>110</v>
      </c>
      <c r="E637" s="2" t="s">
        <v>1764</v>
      </c>
      <c r="F637" s="2" t="s">
        <v>1765</v>
      </c>
      <c r="G637" s="2" t="s">
        <v>1617</v>
      </c>
      <c r="H637" s="2" t="s">
        <v>1732</v>
      </c>
      <c r="K637" s="5" t="str">
        <f>CONCATENATE(Table1[[#This Row],[Lead UKGI Contact Forename]],".",Table1[[#This Row],[Lead UKGI Contact Surname]],"@ukgi.org.uk")</f>
        <v>.@ukgi.org.uk</v>
      </c>
    </row>
    <row r="638" spans="1:11" ht="25.5" hidden="1" x14ac:dyDescent="0.2">
      <c r="A638" s="4" t="s">
        <v>1768</v>
      </c>
      <c r="B638" s="4" t="s">
        <v>1769</v>
      </c>
      <c r="C638" s="4"/>
      <c r="D638" s="4" t="s">
        <v>37</v>
      </c>
      <c r="E638" s="2" t="s">
        <v>1770</v>
      </c>
      <c r="F638" s="2" t="s">
        <v>1771</v>
      </c>
      <c r="G638" s="2" t="s">
        <v>1617</v>
      </c>
      <c r="H638" s="2" t="s">
        <v>1732</v>
      </c>
      <c r="K638" s="5" t="str">
        <f>CONCATENATE(Table1[[#This Row],[Lead UKGI Contact Forename]],".",Table1[[#This Row],[Lead UKGI Contact Surname]],"@ukgi.org.uk")</f>
        <v>.@ukgi.org.uk</v>
      </c>
    </row>
    <row r="639" spans="1:11" ht="51" hidden="1" x14ac:dyDescent="0.2">
      <c r="A639" s="4" t="s">
        <v>386</v>
      </c>
      <c r="B639" s="4" t="s">
        <v>103</v>
      </c>
      <c r="C639" s="4"/>
      <c r="D639" s="4" t="s">
        <v>37</v>
      </c>
      <c r="E639" s="2" t="s">
        <v>1772</v>
      </c>
      <c r="F639" s="2" t="s">
        <v>1765</v>
      </c>
      <c r="G639" s="2" t="s">
        <v>1617</v>
      </c>
      <c r="H639" s="2" t="s">
        <v>1732</v>
      </c>
      <c r="K639" s="5" t="str">
        <f>CONCATENATE(Table1[[#This Row],[Lead UKGI Contact Forename]],".",Table1[[#This Row],[Lead UKGI Contact Surname]],"@ukgi.org.uk")</f>
        <v>.@ukgi.org.uk</v>
      </c>
    </row>
    <row r="640" spans="1:11" ht="25.5" hidden="1" x14ac:dyDescent="0.2">
      <c r="A640" s="4" t="s">
        <v>1773</v>
      </c>
      <c r="B640" s="4" t="s">
        <v>1774</v>
      </c>
      <c r="C640" s="4"/>
      <c r="D640" s="4" t="s">
        <v>37</v>
      </c>
      <c r="E640" s="2" t="s">
        <v>1775</v>
      </c>
      <c r="F640" s="2" t="s">
        <v>1776</v>
      </c>
      <c r="G640" s="2" t="s">
        <v>1617</v>
      </c>
      <c r="H640" s="2" t="s">
        <v>1732</v>
      </c>
      <c r="K640" s="5" t="str">
        <f>CONCATENATE(Table1[[#This Row],[Lead UKGI Contact Forename]],".",Table1[[#This Row],[Lead UKGI Contact Surname]],"@ukgi.org.uk")</f>
        <v>.@ukgi.org.uk</v>
      </c>
    </row>
    <row r="641" spans="1:11" ht="51" hidden="1" x14ac:dyDescent="0.2">
      <c r="A641" s="4" t="s">
        <v>1777</v>
      </c>
      <c r="B641" s="4" t="s">
        <v>313</v>
      </c>
      <c r="C641" s="4"/>
      <c r="D641" s="4" t="s">
        <v>110</v>
      </c>
      <c r="E641" s="2" t="s">
        <v>1764</v>
      </c>
      <c r="F641" s="2" t="s">
        <v>1765</v>
      </c>
      <c r="G641" s="2" t="s">
        <v>1617</v>
      </c>
      <c r="H641" s="2" t="s">
        <v>1732</v>
      </c>
      <c r="K641" s="5" t="str">
        <f>CONCATENATE(Table1[[#This Row],[Lead UKGI Contact Forename]],".",Table1[[#This Row],[Lead UKGI Contact Surname]],"@ukgi.org.uk")</f>
        <v>.@ukgi.org.uk</v>
      </c>
    </row>
    <row r="642" spans="1:11" ht="25.5" hidden="1" x14ac:dyDescent="0.2">
      <c r="A642" s="4" t="s">
        <v>1778</v>
      </c>
      <c r="B642" s="4" t="s">
        <v>48</v>
      </c>
      <c r="C642" s="4"/>
      <c r="D642" s="4" t="s">
        <v>110</v>
      </c>
      <c r="E642" s="2" t="s">
        <v>1779</v>
      </c>
      <c r="F642" s="2" t="s">
        <v>1780</v>
      </c>
      <c r="G642" s="2" t="s">
        <v>1617</v>
      </c>
      <c r="H642" s="2" t="s">
        <v>1732</v>
      </c>
      <c r="K642" s="5" t="str">
        <f>CONCATENATE(Table1[[#This Row],[Lead UKGI Contact Forename]],".",Table1[[#This Row],[Lead UKGI Contact Surname]],"@ukgi.org.uk")</f>
        <v>.@ukgi.org.uk</v>
      </c>
    </row>
    <row r="643" spans="1:11" ht="51" hidden="1" x14ac:dyDescent="0.2">
      <c r="A643" s="4" t="s">
        <v>54</v>
      </c>
      <c r="B643" s="4" t="s">
        <v>310</v>
      </c>
      <c r="C643" s="4"/>
      <c r="D643" s="4" t="s">
        <v>110</v>
      </c>
      <c r="E643" s="2" t="s">
        <v>1764</v>
      </c>
      <c r="F643" s="2" t="s">
        <v>1765</v>
      </c>
      <c r="G643" s="2" t="s">
        <v>1617</v>
      </c>
      <c r="H643" s="2" t="s">
        <v>1732</v>
      </c>
      <c r="K643" s="5" t="str">
        <f>CONCATENATE(Table1[[#This Row],[Lead UKGI Contact Forename]],".",Table1[[#This Row],[Lead UKGI Contact Surname]],"@ukgi.org.uk")</f>
        <v>.@ukgi.org.uk</v>
      </c>
    </row>
    <row r="644" spans="1:11" ht="102" hidden="1" x14ac:dyDescent="0.2">
      <c r="A644" s="4" t="s">
        <v>530</v>
      </c>
      <c r="B644" s="4" t="s">
        <v>1781</v>
      </c>
      <c r="C644" s="4"/>
      <c r="D644" s="4" t="s">
        <v>37</v>
      </c>
      <c r="E644" s="2" t="s">
        <v>1775</v>
      </c>
      <c r="F644" s="2" t="s">
        <v>1749</v>
      </c>
      <c r="G644" s="2" t="s">
        <v>1617</v>
      </c>
      <c r="H644" s="2" t="s">
        <v>1732</v>
      </c>
      <c r="K644" s="5" t="str">
        <f>CONCATENATE(Table1[[#This Row],[Lead UKGI Contact Forename]],".",Table1[[#This Row],[Lead UKGI Contact Surname]],"@ukgi.org.uk")</f>
        <v>.@ukgi.org.uk</v>
      </c>
    </row>
    <row r="645" spans="1:11" ht="51" hidden="1" x14ac:dyDescent="0.2">
      <c r="A645" s="4" t="s">
        <v>1782</v>
      </c>
      <c r="B645" s="4" t="s">
        <v>766</v>
      </c>
      <c r="C645" s="4"/>
      <c r="D645" s="4" t="s">
        <v>37</v>
      </c>
      <c r="E645" s="2" t="s">
        <v>1783</v>
      </c>
      <c r="F645" s="2" t="s">
        <v>1765</v>
      </c>
      <c r="G645" s="2" t="s">
        <v>1617</v>
      </c>
      <c r="H645" s="2" t="s">
        <v>1732</v>
      </c>
      <c r="K645" s="5" t="str">
        <f>CONCATENATE(Table1[[#This Row],[Lead UKGI Contact Forename]],".",Table1[[#This Row],[Lead UKGI Contact Surname]],"@ukgi.org.uk")</f>
        <v>.@ukgi.org.uk</v>
      </c>
    </row>
    <row r="646" spans="1:11" ht="51" hidden="1" x14ac:dyDescent="0.2">
      <c r="A646" s="4" t="s">
        <v>1784</v>
      </c>
      <c r="B646" s="4" t="s">
        <v>1785</v>
      </c>
      <c r="C646" s="4"/>
      <c r="D646" s="4" t="s">
        <v>37</v>
      </c>
      <c r="E646" s="2" t="s">
        <v>1783</v>
      </c>
      <c r="F646" s="2" t="s">
        <v>1765</v>
      </c>
      <c r="G646" s="2" t="s">
        <v>1617</v>
      </c>
      <c r="H646" s="2" t="s">
        <v>1732</v>
      </c>
      <c r="K646" s="5" t="str">
        <f>CONCATENATE(Table1[[#This Row],[Lead UKGI Contact Forename]],".",Table1[[#This Row],[Lead UKGI Contact Surname]],"@ukgi.org.uk")</f>
        <v>.@ukgi.org.uk</v>
      </c>
    </row>
    <row r="647" spans="1:11" ht="63.75" hidden="1" x14ac:dyDescent="0.2">
      <c r="A647" s="4" t="s">
        <v>1270</v>
      </c>
      <c r="B647" s="4" t="s">
        <v>429</v>
      </c>
      <c r="C647" s="4"/>
      <c r="D647" s="4" t="s">
        <v>37</v>
      </c>
      <c r="E647" s="2" t="s">
        <v>1786</v>
      </c>
      <c r="F647" s="2" t="s">
        <v>1787</v>
      </c>
      <c r="G647" s="2" t="s">
        <v>1617</v>
      </c>
      <c r="H647" s="2" t="s">
        <v>1732</v>
      </c>
      <c r="K647" s="5" t="str">
        <f>CONCATENATE(Table1[[#This Row],[Lead UKGI Contact Forename]],".",Table1[[#This Row],[Lead UKGI Contact Surname]],"@ukgi.org.uk")</f>
        <v>.@ukgi.org.uk</v>
      </c>
    </row>
    <row r="648" spans="1:11" ht="25.5" hidden="1" x14ac:dyDescent="0.2">
      <c r="A648" s="4" t="s">
        <v>1788</v>
      </c>
      <c r="B648" s="4" t="s">
        <v>875</v>
      </c>
      <c r="C648" s="4"/>
      <c r="D648" s="4" t="s">
        <v>37</v>
      </c>
      <c r="E648" s="2" t="s">
        <v>1789</v>
      </c>
      <c r="F648" s="2" t="s">
        <v>1790</v>
      </c>
      <c r="G648" s="2" t="s">
        <v>1617</v>
      </c>
      <c r="H648" s="2" t="s">
        <v>1732</v>
      </c>
      <c r="K648" s="5" t="str">
        <f>CONCATENATE(Table1[[#This Row],[Lead UKGI Contact Forename]],".",Table1[[#This Row],[Lead UKGI Contact Surname]],"@ukgi.org.uk")</f>
        <v>.@ukgi.org.uk</v>
      </c>
    </row>
    <row r="649" spans="1:11" ht="38.25" hidden="1" x14ac:dyDescent="0.2">
      <c r="A649" s="4" t="s">
        <v>1791</v>
      </c>
      <c r="B649" s="4" t="s">
        <v>382</v>
      </c>
      <c r="C649" s="4"/>
      <c r="D649" s="4" t="s">
        <v>37</v>
      </c>
      <c r="E649" s="2" t="s">
        <v>1792</v>
      </c>
      <c r="F649" s="2" t="s">
        <v>1793</v>
      </c>
      <c r="G649" s="2" t="s">
        <v>1617</v>
      </c>
      <c r="H649" s="2" t="s">
        <v>1732</v>
      </c>
      <c r="K649" s="5" t="str">
        <f>CONCATENATE(Table1[[#This Row],[Lead UKGI Contact Forename]],".",Table1[[#This Row],[Lead UKGI Contact Surname]],"@ukgi.org.uk")</f>
        <v>.@ukgi.org.uk</v>
      </c>
    </row>
    <row r="650" spans="1:11" ht="25.5" hidden="1" x14ac:dyDescent="0.2">
      <c r="A650" s="4" t="s">
        <v>1794</v>
      </c>
      <c r="B650" s="4" t="s">
        <v>1795</v>
      </c>
      <c r="C650" s="4"/>
      <c r="D650" s="4" t="s">
        <v>37</v>
      </c>
      <c r="E650" s="2" t="s">
        <v>1796</v>
      </c>
      <c r="F650" s="2" t="s">
        <v>1797</v>
      </c>
      <c r="G650" s="2" t="s">
        <v>1617</v>
      </c>
      <c r="H650" s="2" t="s">
        <v>1732</v>
      </c>
      <c r="K650" s="5" t="str">
        <f>CONCATENATE(Table1[[#This Row],[Lead UKGI Contact Forename]],".",Table1[[#This Row],[Lead UKGI Contact Surname]],"@ukgi.org.uk")</f>
        <v>.@ukgi.org.uk</v>
      </c>
    </row>
    <row r="651" spans="1:11" ht="89.25" hidden="1" x14ac:dyDescent="0.2">
      <c r="A651" s="4" t="s">
        <v>1798</v>
      </c>
      <c r="B651" s="4" t="s">
        <v>483</v>
      </c>
      <c r="C651" s="4"/>
      <c r="D651" s="4" t="s">
        <v>37</v>
      </c>
      <c r="E651" s="2" t="s">
        <v>1799</v>
      </c>
      <c r="F651" s="2" t="s">
        <v>1735</v>
      </c>
      <c r="G651" s="2" t="s">
        <v>1617</v>
      </c>
      <c r="H651" s="2" t="s">
        <v>1732</v>
      </c>
      <c r="K651" s="5" t="str">
        <f>CONCATENATE(Table1[[#This Row],[Lead UKGI Contact Forename]],".",Table1[[#This Row],[Lead UKGI Contact Surname]],"@ukgi.org.uk")</f>
        <v>.@ukgi.org.uk</v>
      </c>
    </row>
    <row r="652" spans="1:11" ht="38.25" hidden="1" x14ac:dyDescent="0.2">
      <c r="A652" s="4" t="s">
        <v>1800</v>
      </c>
      <c r="B652" s="4" t="s">
        <v>1801</v>
      </c>
      <c r="C652" s="4"/>
      <c r="D652" s="4" t="s">
        <v>37</v>
      </c>
      <c r="E652" s="2" t="s">
        <v>1802</v>
      </c>
      <c r="F652" s="2" t="s">
        <v>1803</v>
      </c>
      <c r="G652" s="2" t="s">
        <v>1617</v>
      </c>
      <c r="H652" s="2" t="s">
        <v>1732</v>
      </c>
      <c r="K652" s="5" t="str">
        <f>CONCATENATE(Table1[[#This Row],[Lead UKGI Contact Forename]],".",Table1[[#This Row],[Lead UKGI Contact Surname]],"@ukgi.org.uk")</f>
        <v>.@ukgi.org.uk</v>
      </c>
    </row>
    <row r="653" spans="1:11" ht="25.5" hidden="1" x14ac:dyDescent="0.2">
      <c r="A653" s="4" t="s">
        <v>1804</v>
      </c>
      <c r="B653" s="4" t="s">
        <v>1805</v>
      </c>
      <c r="C653" s="4"/>
      <c r="D653" s="4" t="s">
        <v>37</v>
      </c>
      <c r="E653" s="2" t="s">
        <v>1775</v>
      </c>
      <c r="F653" s="2" t="s">
        <v>1776</v>
      </c>
      <c r="G653" s="2" t="s">
        <v>1617</v>
      </c>
      <c r="H653" s="2" t="s">
        <v>1732</v>
      </c>
      <c r="K653" s="5" t="str">
        <f>CONCATENATE(Table1[[#This Row],[Lead UKGI Contact Forename]],".",Table1[[#This Row],[Lead UKGI Contact Surname]],"@ukgi.org.uk")</f>
        <v>.@ukgi.org.uk</v>
      </c>
    </row>
    <row r="654" spans="1:11" ht="51" hidden="1" x14ac:dyDescent="0.2">
      <c r="A654" s="4" t="s">
        <v>1806</v>
      </c>
      <c r="B654" s="4" t="s">
        <v>1807</v>
      </c>
      <c r="C654" s="4"/>
      <c r="D654" s="4" t="s">
        <v>37</v>
      </c>
      <c r="E654" s="2" t="s">
        <v>1808</v>
      </c>
      <c r="F654" s="2" t="s">
        <v>1765</v>
      </c>
      <c r="G654" s="2" t="s">
        <v>1617</v>
      </c>
      <c r="H654" s="2" t="s">
        <v>1732</v>
      </c>
      <c r="K654" s="5" t="str">
        <f>CONCATENATE(Table1[[#This Row],[Lead UKGI Contact Forename]],".",Table1[[#This Row],[Lead UKGI Contact Surname]],"@ukgi.org.uk")</f>
        <v>.@ukgi.org.uk</v>
      </c>
    </row>
    <row r="655" spans="1:11" ht="51" hidden="1" x14ac:dyDescent="0.2">
      <c r="A655" s="4" t="s">
        <v>842</v>
      </c>
      <c r="B655" s="4" t="s">
        <v>1809</v>
      </c>
      <c r="C655" s="4"/>
      <c r="D655" s="4" t="s">
        <v>37</v>
      </c>
      <c r="E655" s="2" t="s">
        <v>1810</v>
      </c>
      <c r="F655" s="2" t="s">
        <v>1765</v>
      </c>
      <c r="G655" s="2" t="s">
        <v>1617</v>
      </c>
      <c r="H655" s="2" t="s">
        <v>1732</v>
      </c>
      <c r="K655" s="5" t="str">
        <f>CONCATENATE(Table1[[#This Row],[Lead UKGI Contact Forename]],".",Table1[[#This Row],[Lead UKGI Contact Surname]],"@ukgi.org.uk")</f>
        <v>.@ukgi.org.uk</v>
      </c>
    </row>
    <row r="656" spans="1:11" ht="140.25" hidden="1" x14ac:dyDescent="0.2">
      <c r="A656" s="4" t="s">
        <v>1811</v>
      </c>
      <c r="B656" s="4" t="s">
        <v>139</v>
      </c>
      <c r="C656" s="4"/>
      <c r="D656" s="4" t="s">
        <v>37</v>
      </c>
      <c r="E656" s="2" t="s">
        <v>1812</v>
      </c>
      <c r="F656" s="2" t="s">
        <v>1744</v>
      </c>
      <c r="G656" s="2" t="s">
        <v>1617</v>
      </c>
      <c r="H656" s="2" t="s">
        <v>1732</v>
      </c>
      <c r="K656" s="5" t="str">
        <f>CONCATENATE(Table1[[#This Row],[Lead UKGI Contact Forename]],".",Table1[[#This Row],[Lead UKGI Contact Surname]],"@ukgi.org.uk")</f>
        <v>.@ukgi.org.uk</v>
      </c>
    </row>
    <row r="657" spans="1:11" ht="140.25" hidden="1" x14ac:dyDescent="0.2">
      <c r="A657" s="4" t="s">
        <v>1813</v>
      </c>
      <c r="B657" s="4" t="s">
        <v>1814</v>
      </c>
      <c r="C657" s="4"/>
      <c r="D657" s="4" t="s">
        <v>37</v>
      </c>
      <c r="E657" s="2" t="s">
        <v>1815</v>
      </c>
      <c r="F657" s="2" t="s">
        <v>1744</v>
      </c>
      <c r="G657" s="2" t="s">
        <v>1617</v>
      </c>
      <c r="H657" s="2" t="s">
        <v>1732</v>
      </c>
      <c r="K657" s="5" t="str">
        <f>CONCATENATE(Table1[[#This Row],[Lead UKGI Contact Forename]],".",Table1[[#This Row],[Lead UKGI Contact Surname]],"@ukgi.org.uk")</f>
        <v>.@ukgi.org.uk</v>
      </c>
    </row>
    <row r="658" spans="1:11" ht="51" hidden="1" x14ac:dyDescent="0.2">
      <c r="A658" s="4" t="s">
        <v>1816</v>
      </c>
      <c r="B658" s="4" t="s">
        <v>1817</v>
      </c>
      <c r="C658" s="4"/>
      <c r="D658" s="4" t="s">
        <v>37</v>
      </c>
      <c r="E658" s="2" t="s">
        <v>1818</v>
      </c>
      <c r="F658" s="2" t="s">
        <v>1765</v>
      </c>
      <c r="G658" s="2" t="s">
        <v>1617</v>
      </c>
      <c r="H658" s="2" t="s">
        <v>1732</v>
      </c>
      <c r="K658" s="5" t="str">
        <f>CONCATENATE(Table1[[#This Row],[Lead UKGI Contact Forename]],".",Table1[[#This Row],[Lead UKGI Contact Surname]],"@ukgi.org.uk")</f>
        <v>.@ukgi.org.uk</v>
      </c>
    </row>
    <row r="659" spans="1:11" ht="140.25" hidden="1" x14ac:dyDescent="0.2">
      <c r="A659" s="4" t="s">
        <v>950</v>
      </c>
      <c r="B659" s="4" t="s">
        <v>681</v>
      </c>
      <c r="C659" s="4"/>
      <c r="D659" s="4" t="s">
        <v>37</v>
      </c>
      <c r="E659" s="2" t="s">
        <v>1819</v>
      </c>
      <c r="F659" s="2" t="s">
        <v>1744</v>
      </c>
      <c r="G659" s="2" t="s">
        <v>1617</v>
      </c>
      <c r="H659" s="2" t="s">
        <v>1732</v>
      </c>
      <c r="K659" s="5" t="str">
        <f>CONCATENATE(Table1[[#This Row],[Lead UKGI Contact Forename]],".",Table1[[#This Row],[Lead UKGI Contact Surname]],"@ukgi.org.uk")</f>
        <v>.@ukgi.org.uk</v>
      </c>
    </row>
    <row r="660" spans="1:11" ht="51" hidden="1" x14ac:dyDescent="0.2">
      <c r="A660" s="4" t="s">
        <v>1820</v>
      </c>
      <c r="B660" s="4" t="s">
        <v>1821</v>
      </c>
      <c r="C660" s="4"/>
      <c r="D660" s="4" t="s">
        <v>37</v>
      </c>
      <c r="E660" s="2" t="s">
        <v>1822</v>
      </c>
      <c r="F660" s="2" t="s">
        <v>1765</v>
      </c>
      <c r="G660" s="2" t="s">
        <v>1617</v>
      </c>
      <c r="H660" s="2" t="s">
        <v>1732</v>
      </c>
      <c r="K660" s="5" t="str">
        <f>CONCATENATE(Table1[[#This Row],[Lead UKGI Contact Forename]],".",Table1[[#This Row],[Lead UKGI Contact Surname]],"@ukgi.org.uk")</f>
        <v>.@ukgi.org.uk</v>
      </c>
    </row>
    <row r="661" spans="1:11" ht="51" hidden="1" x14ac:dyDescent="0.2">
      <c r="A661" s="4" t="s">
        <v>1823</v>
      </c>
      <c r="B661" s="4" t="s">
        <v>766</v>
      </c>
      <c r="C661" s="4"/>
      <c r="D661" s="4" t="s">
        <v>37</v>
      </c>
      <c r="E661" s="2" t="s">
        <v>1822</v>
      </c>
      <c r="F661" s="2" t="s">
        <v>1765</v>
      </c>
      <c r="G661" s="2" t="s">
        <v>1617</v>
      </c>
      <c r="H661" s="2" t="s">
        <v>1732</v>
      </c>
      <c r="K661" s="5" t="str">
        <f>CONCATENATE(Table1[[#This Row],[Lead UKGI Contact Forename]],".",Table1[[#This Row],[Lead UKGI Contact Surname]],"@ukgi.org.uk")</f>
        <v>.@ukgi.org.uk</v>
      </c>
    </row>
    <row r="662" spans="1:11" ht="89.25" hidden="1" x14ac:dyDescent="0.2">
      <c r="A662" s="4" t="s">
        <v>1824</v>
      </c>
      <c r="B662" s="4" t="s">
        <v>1825</v>
      </c>
      <c r="C662" s="4"/>
      <c r="D662" s="4" t="s">
        <v>37</v>
      </c>
      <c r="E662" s="2" t="s">
        <v>1826</v>
      </c>
      <c r="F662" s="2" t="s">
        <v>1827</v>
      </c>
      <c r="G662" s="2" t="s">
        <v>1617</v>
      </c>
      <c r="H662" s="2" t="s">
        <v>1732</v>
      </c>
      <c r="K662" s="5" t="str">
        <f>CONCATENATE(Table1[[#This Row],[Lead UKGI Contact Forename]],".",Table1[[#This Row],[Lead UKGI Contact Surname]],"@ukgi.org.uk")</f>
        <v>.@ukgi.org.uk</v>
      </c>
    </row>
    <row r="663" spans="1:11" ht="140.25" hidden="1" x14ac:dyDescent="0.2">
      <c r="A663" s="4" t="s">
        <v>1828</v>
      </c>
      <c r="B663" s="4" t="s">
        <v>1829</v>
      </c>
      <c r="C663" s="4"/>
      <c r="D663" s="4" t="s">
        <v>37</v>
      </c>
      <c r="E663" s="2" t="s">
        <v>1830</v>
      </c>
      <c r="F663" s="2" t="s">
        <v>1744</v>
      </c>
      <c r="G663" s="2" t="s">
        <v>1617</v>
      </c>
      <c r="H663" s="2" t="s">
        <v>1732</v>
      </c>
      <c r="K663" s="5" t="str">
        <f>CONCATENATE(Table1[[#This Row],[Lead UKGI Contact Forename]],".",Table1[[#This Row],[Lead UKGI Contact Surname]],"@ukgi.org.uk")</f>
        <v>.@ukgi.org.uk</v>
      </c>
    </row>
    <row r="664" spans="1:11" ht="140.25" hidden="1" x14ac:dyDescent="0.2">
      <c r="A664" s="4" t="s">
        <v>914</v>
      </c>
      <c r="B664" s="4" t="s">
        <v>89</v>
      </c>
      <c r="C664" s="4"/>
      <c r="D664" s="4" t="s">
        <v>37</v>
      </c>
      <c r="E664" s="2" t="s">
        <v>1830</v>
      </c>
      <c r="F664" s="2" t="s">
        <v>1744</v>
      </c>
      <c r="G664" s="2" t="s">
        <v>1617</v>
      </c>
      <c r="H664" s="2" t="s">
        <v>1732</v>
      </c>
      <c r="K664" s="5" t="str">
        <f>CONCATENATE(Table1[[#This Row],[Lead UKGI Contact Forename]],".",Table1[[#This Row],[Lead UKGI Contact Surname]],"@ukgi.org.uk")</f>
        <v>.@ukgi.org.uk</v>
      </c>
    </row>
    <row r="665" spans="1:11" ht="140.25" hidden="1" x14ac:dyDescent="0.2">
      <c r="A665" s="4" t="s">
        <v>1831</v>
      </c>
      <c r="B665" s="4" t="s">
        <v>959</v>
      </c>
      <c r="C665" s="4"/>
      <c r="D665" s="4" t="s">
        <v>37</v>
      </c>
      <c r="E665" s="2" t="s">
        <v>1832</v>
      </c>
      <c r="F665" s="2" t="s">
        <v>1744</v>
      </c>
      <c r="G665" s="2" t="s">
        <v>1617</v>
      </c>
      <c r="H665" s="2" t="s">
        <v>1732</v>
      </c>
      <c r="K665" s="5" t="str">
        <f>CONCATENATE(Table1[[#This Row],[Lead UKGI Contact Forename]],".",Table1[[#This Row],[Lead UKGI Contact Surname]],"@ukgi.org.uk")</f>
        <v>.@ukgi.org.uk</v>
      </c>
    </row>
    <row r="666" spans="1:11" ht="140.25" hidden="1" x14ac:dyDescent="0.2">
      <c r="A666" s="4" t="s">
        <v>1833</v>
      </c>
      <c r="B666" s="4" t="s">
        <v>1834</v>
      </c>
      <c r="C666" s="4"/>
      <c r="D666" s="4" t="s">
        <v>37</v>
      </c>
      <c r="E666" s="2" t="s">
        <v>1832</v>
      </c>
      <c r="F666" s="2" t="s">
        <v>1744</v>
      </c>
      <c r="G666" s="2" t="s">
        <v>1617</v>
      </c>
      <c r="H666" s="2" t="s">
        <v>1732</v>
      </c>
      <c r="K666" s="5" t="str">
        <f>CONCATENATE(Table1[[#This Row],[Lead UKGI Contact Forename]],".",Table1[[#This Row],[Lead UKGI Contact Surname]],"@ukgi.org.uk")</f>
        <v>.@ukgi.org.uk</v>
      </c>
    </row>
    <row r="667" spans="1:11" ht="140.25" hidden="1" x14ac:dyDescent="0.2">
      <c r="A667" s="4" t="s">
        <v>1835</v>
      </c>
      <c r="B667" s="4" t="s">
        <v>429</v>
      </c>
      <c r="C667" s="4"/>
      <c r="D667" s="4" t="s">
        <v>37</v>
      </c>
      <c r="E667" s="2" t="s">
        <v>1836</v>
      </c>
      <c r="F667" s="2" t="s">
        <v>1744</v>
      </c>
      <c r="G667" s="2" t="s">
        <v>1617</v>
      </c>
      <c r="H667" s="2" t="s">
        <v>1732</v>
      </c>
      <c r="K667" s="5" t="str">
        <f>CONCATENATE(Table1[[#This Row],[Lead UKGI Contact Forename]],".",Table1[[#This Row],[Lead UKGI Contact Surname]],"@ukgi.org.uk")</f>
        <v>.@ukgi.org.uk</v>
      </c>
    </row>
    <row r="668" spans="1:11" ht="140.25" hidden="1" x14ac:dyDescent="0.2">
      <c r="A668" s="4" t="s">
        <v>1837</v>
      </c>
      <c r="B668" s="4" t="s">
        <v>1838</v>
      </c>
      <c r="C668" s="4"/>
      <c r="D668" s="4" t="s">
        <v>37</v>
      </c>
      <c r="E668" s="2" t="s">
        <v>1832</v>
      </c>
      <c r="F668" s="2" t="s">
        <v>1744</v>
      </c>
      <c r="G668" s="2" t="s">
        <v>1617</v>
      </c>
      <c r="H668" s="2" t="s">
        <v>1732</v>
      </c>
      <c r="K668" s="5" t="str">
        <f>CONCATENATE(Table1[[#This Row],[Lead UKGI Contact Forename]],".",Table1[[#This Row],[Lead UKGI Contact Surname]],"@ukgi.org.uk")</f>
        <v>.@ukgi.org.uk</v>
      </c>
    </row>
    <row r="669" spans="1:11" ht="63.75" hidden="1" x14ac:dyDescent="0.2">
      <c r="A669" s="4" t="s">
        <v>1839</v>
      </c>
      <c r="B669" s="4" t="s">
        <v>1840</v>
      </c>
      <c r="C669" s="4"/>
      <c r="D669" s="4" t="s">
        <v>37</v>
      </c>
      <c r="E669" s="2" t="s">
        <v>1841</v>
      </c>
      <c r="F669" s="2" t="s">
        <v>1842</v>
      </c>
      <c r="G669" s="2" t="s">
        <v>1617</v>
      </c>
      <c r="H669" s="2" t="s">
        <v>1732</v>
      </c>
      <c r="K669" s="5" t="str">
        <f>CONCATENATE(Table1[[#This Row],[Lead UKGI Contact Forename]],".",Table1[[#This Row],[Lead UKGI Contact Surname]],"@ukgi.org.uk")</f>
        <v>.@ukgi.org.uk</v>
      </c>
    </row>
    <row r="670" spans="1:11" ht="140.25" hidden="1" x14ac:dyDescent="0.2">
      <c r="A670" s="4" t="s">
        <v>1843</v>
      </c>
      <c r="B670" s="4" t="s">
        <v>1844</v>
      </c>
      <c r="C670" s="4"/>
      <c r="D670" s="4" t="s">
        <v>37</v>
      </c>
      <c r="E670" s="2" t="s">
        <v>1830</v>
      </c>
      <c r="F670" s="2" t="s">
        <v>1744</v>
      </c>
      <c r="G670" s="2" t="s">
        <v>1617</v>
      </c>
      <c r="H670" s="2" t="s">
        <v>1732</v>
      </c>
      <c r="K670" s="5" t="str">
        <f>CONCATENATE(Table1[[#This Row],[Lead UKGI Contact Forename]],".",Table1[[#This Row],[Lead UKGI Contact Surname]],"@ukgi.org.uk")</f>
        <v>.@ukgi.org.uk</v>
      </c>
    </row>
    <row r="671" spans="1:11" ht="140.25" hidden="1" x14ac:dyDescent="0.2">
      <c r="A671" s="4" t="s">
        <v>274</v>
      </c>
      <c r="B671" s="4" t="s">
        <v>896</v>
      </c>
      <c r="C671" s="4"/>
      <c r="D671" s="4" t="s">
        <v>37</v>
      </c>
      <c r="E671" s="2" t="s">
        <v>1830</v>
      </c>
      <c r="F671" s="2" t="s">
        <v>1744</v>
      </c>
      <c r="G671" s="2" t="s">
        <v>1617</v>
      </c>
      <c r="H671" s="2" t="s">
        <v>1732</v>
      </c>
      <c r="K671" s="5" t="str">
        <f>CONCATENATE(Table1[[#This Row],[Lead UKGI Contact Forename]],".",Table1[[#This Row],[Lead UKGI Contact Surname]],"@ukgi.org.uk")</f>
        <v>.@ukgi.org.uk</v>
      </c>
    </row>
    <row r="672" spans="1:11" ht="140.25" hidden="1" x14ac:dyDescent="0.2">
      <c r="A672" s="4" t="s">
        <v>1845</v>
      </c>
      <c r="B672" s="4" t="s">
        <v>103</v>
      </c>
      <c r="C672" s="4"/>
      <c r="D672" s="4" t="s">
        <v>37</v>
      </c>
      <c r="E672" s="2" t="s">
        <v>1830</v>
      </c>
      <c r="F672" s="2" t="s">
        <v>1744</v>
      </c>
      <c r="G672" s="2" t="s">
        <v>1617</v>
      </c>
      <c r="H672" s="2" t="s">
        <v>1732</v>
      </c>
      <c r="K672" s="5" t="str">
        <f>CONCATENATE(Table1[[#This Row],[Lead UKGI Contact Forename]],".",Table1[[#This Row],[Lead UKGI Contact Surname]],"@ukgi.org.uk")</f>
        <v>.@ukgi.org.uk</v>
      </c>
    </row>
    <row r="673" spans="1:11" ht="140.25" hidden="1" x14ac:dyDescent="0.2">
      <c r="A673" s="4" t="s">
        <v>1846</v>
      </c>
      <c r="B673" s="4" t="s">
        <v>160</v>
      </c>
      <c r="C673" s="4"/>
      <c r="D673" s="4" t="s">
        <v>37</v>
      </c>
      <c r="E673" s="2" t="s">
        <v>1830</v>
      </c>
      <c r="F673" s="2" t="s">
        <v>1744</v>
      </c>
      <c r="G673" s="2" t="s">
        <v>1617</v>
      </c>
      <c r="H673" s="2" t="s">
        <v>1732</v>
      </c>
      <c r="K673" s="5" t="str">
        <f>CONCATENATE(Table1[[#This Row],[Lead UKGI Contact Forename]],".",Table1[[#This Row],[Lead UKGI Contact Surname]],"@ukgi.org.uk")</f>
        <v>.@ukgi.org.uk</v>
      </c>
    </row>
    <row r="674" spans="1:11" ht="140.25" hidden="1" x14ac:dyDescent="0.2">
      <c r="A674" s="4" t="s">
        <v>1847</v>
      </c>
      <c r="B674" s="4" t="s">
        <v>1848</v>
      </c>
      <c r="C674" s="4"/>
      <c r="D674" s="4" t="s">
        <v>37</v>
      </c>
      <c r="E674" s="2" t="s">
        <v>1830</v>
      </c>
      <c r="F674" s="2" t="s">
        <v>1744</v>
      </c>
      <c r="G674" s="2" t="s">
        <v>1617</v>
      </c>
      <c r="H674" s="2" t="s">
        <v>1732</v>
      </c>
      <c r="K674" s="5" t="str">
        <f>CONCATENATE(Table1[[#This Row],[Lead UKGI Contact Forename]],".",Table1[[#This Row],[Lead UKGI Contact Surname]],"@ukgi.org.uk")</f>
        <v>.@ukgi.org.uk</v>
      </c>
    </row>
    <row r="675" spans="1:11" ht="25.5" hidden="1" x14ac:dyDescent="0.2">
      <c r="A675" s="4" t="s">
        <v>1849</v>
      </c>
      <c r="B675" s="4" t="s">
        <v>1850</v>
      </c>
      <c r="C675" s="4"/>
      <c r="D675" s="4" t="s">
        <v>37</v>
      </c>
      <c r="E675" s="2" t="s">
        <v>1851</v>
      </c>
      <c r="F675" s="2" t="s">
        <v>1852</v>
      </c>
      <c r="G675" s="2" t="s">
        <v>1617</v>
      </c>
      <c r="H675" s="2" t="s">
        <v>1732</v>
      </c>
      <c r="K675" s="5" t="str">
        <f>CONCATENATE(Table1[[#This Row],[Lead UKGI Contact Forename]],".",Table1[[#This Row],[Lead UKGI Contact Surname]],"@ukgi.org.uk")</f>
        <v>.@ukgi.org.uk</v>
      </c>
    </row>
    <row r="676" spans="1:11" ht="25.5" hidden="1" x14ac:dyDescent="0.2">
      <c r="A676" s="4" t="s">
        <v>1853</v>
      </c>
      <c r="B676" s="4" t="s">
        <v>89</v>
      </c>
      <c r="C676" s="4"/>
      <c r="D676" s="4" t="s">
        <v>37</v>
      </c>
      <c r="E676" s="2" t="s">
        <v>1854</v>
      </c>
      <c r="F676" s="2" t="s">
        <v>1855</v>
      </c>
      <c r="G676" s="2" t="s">
        <v>1617</v>
      </c>
      <c r="H676" s="2" t="s">
        <v>1732</v>
      </c>
      <c r="K676" s="5" t="str">
        <f>CONCATENATE(Table1[[#This Row],[Lead UKGI Contact Forename]],".",Table1[[#This Row],[Lead UKGI Contact Surname]],"@ukgi.org.uk")</f>
        <v>.@ukgi.org.uk</v>
      </c>
    </row>
    <row r="677" spans="1:11" ht="38.25" x14ac:dyDescent="0.2">
      <c r="A677" s="4" t="s">
        <v>1856</v>
      </c>
      <c r="B677" s="4" t="s">
        <v>1857</v>
      </c>
      <c r="C677" s="4"/>
      <c r="D677" s="4" t="s">
        <v>148</v>
      </c>
      <c r="E677" s="2" t="s">
        <v>1858</v>
      </c>
      <c r="F677" s="2" t="s">
        <v>1858</v>
      </c>
      <c r="G677" s="2" t="s">
        <v>1617</v>
      </c>
      <c r="H677" s="2" t="s">
        <v>1859</v>
      </c>
      <c r="K677" s="5" t="str">
        <f>CONCATENATE(Table1[[#This Row],[Lead UKGI Contact Forename]],".",Table1[[#This Row],[Lead UKGI Contact Surname]],"@ukgi.org.uk")</f>
        <v>.@ukgi.org.uk</v>
      </c>
    </row>
    <row r="678" spans="1:11" ht="38.25" hidden="1" x14ac:dyDescent="0.2">
      <c r="A678" s="4" t="s">
        <v>1860</v>
      </c>
      <c r="B678" s="4" t="s">
        <v>1711</v>
      </c>
      <c r="C678" s="4"/>
      <c r="D678" s="4" t="s">
        <v>211</v>
      </c>
      <c r="E678" s="2" t="s">
        <v>1861</v>
      </c>
      <c r="F678" s="2" t="s">
        <v>1861</v>
      </c>
      <c r="G678" s="2" t="s">
        <v>1617</v>
      </c>
      <c r="H678" s="2" t="s">
        <v>1859</v>
      </c>
      <c r="K678" s="5" t="str">
        <f>CONCATENATE(Table1[[#This Row],[Lead UKGI Contact Forename]],".",Table1[[#This Row],[Lead UKGI Contact Surname]],"@ukgi.org.uk")</f>
        <v>.@ukgi.org.uk</v>
      </c>
    </row>
    <row r="679" spans="1:11" ht="25.5" hidden="1" x14ac:dyDescent="0.2">
      <c r="A679" s="4" t="s">
        <v>1862</v>
      </c>
      <c r="B679" s="4" t="s">
        <v>121</v>
      </c>
      <c r="C679" s="4"/>
      <c r="D679" s="4" t="s">
        <v>1631</v>
      </c>
      <c r="E679" s="2" t="s">
        <v>1863</v>
      </c>
      <c r="F679" s="2" t="s">
        <v>1864</v>
      </c>
      <c r="G679" s="2" t="s">
        <v>1617</v>
      </c>
      <c r="H679" s="2" t="s">
        <v>1865</v>
      </c>
      <c r="K679" s="5" t="str">
        <f>CONCATENATE(Table1[[#This Row],[Lead UKGI Contact Forename]],".",Table1[[#This Row],[Lead UKGI Contact Surname]],"@ukgi.org.uk")</f>
        <v>.@ukgi.org.uk</v>
      </c>
    </row>
    <row r="680" spans="1:11" ht="25.5" hidden="1" x14ac:dyDescent="0.2">
      <c r="A680" s="4" t="s">
        <v>1866</v>
      </c>
      <c r="B680" s="4" t="s">
        <v>681</v>
      </c>
      <c r="C680" s="4"/>
      <c r="D680" s="4" t="s">
        <v>1631</v>
      </c>
      <c r="E680" s="2" t="s">
        <v>1867</v>
      </c>
      <c r="F680" s="2" t="s">
        <v>1868</v>
      </c>
      <c r="G680" s="2" t="s">
        <v>1617</v>
      </c>
      <c r="H680" s="2" t="s">
        <v>1865</v>
      </c>
      <c r="K680" s="5" t="str">
        <f>CONCATENATE(Table1[[#This Row],[Lead UKGI Contact Forename]],".",Table1[[#This Row],[Lead UKGI Contact Surname]],"@ukgi.org.uk")</f>
        <v>.@ukgi.org.uk</v>
      </c>
    </row>
    <row r="681" spans="1:11" ht="25.5" hidden="1" x14ac:dyDescent="0.2">
      <c r="A681" s="4" t="s">
        <v>1869</v>
      </c>
      <c r="B681" s="4" t="s">
        <v>63</v>
      </c>
      <c r="C681" s="4"/>
      <c r="D681" s="4" t="s">
        <v>1631</v>
      </c>
      <c r="E681" s="2" t="s">
        <v>1870</v>
      </c>
      <c r="F681" s="2" t="s">
        <v>1868</v>
      </c>
      <c r="G681" s="2" t="s">
        <v>1617</v>
      </c>
      <c r="H681" s="2" t="s">
        <v>1865</v>
      </c>
      <c r="K681" s="5" t="str">
        <f>CONCATENATE(Table1[[#This Row],[Lead UKGI Contact Forename]],".",Table1[[#This Row],[Lead UKGI Contact Surname]],"@ukgi.org.uk")</f>
        <v>.@ukgi.org.uk</v>
      </c>
    </row>
    <row r="682" spans="1:11" ht="25.5" hidden="1" x14ac:dyDescent="0.2">
      <c r="A682" s="4" t="s">
        <v>1745</v>
      </c>
      <c r="B682" s="4" t="s">
        <v>1871</v>
      </c>
      <c r="C682" s="4"/>
      <c r="D682" s="4" t="s">
        <v>1631</v>
      </c>
      <c r="E682" s="2" t="s">
        <v>1872</v>
      </c>
      <c r="F682" s="2" t="s">
        <v>1873</v>
      </c>
      <c r="G682" s="2" t="s">
        <v>1617</v>
      </c>
      <c r="H682" s="2" t="s">
        <v>1865</v>
      </c>
      <c r="K682" s="5" t="str">
        <f>CONCATENATE(Table1[[#This Row],[Lead UKGI Contact Forename]],".",Table1[[#This Row],[Lead UKGI Contact Surname]],"@ukgi.org.uk")</f>
        <v>.@ukgi.org.uk</v>
      </c>
    </row>
    <row r="683" spans="1:11" ht="25.5" hidden="1" x14ac:dyDescent="0.2">
      <c r="A683" s="4" t="s">
        <v>1874</v>
      </c>
      <c r="B683" s="4" t="s">
        <v>1056</v>
      </c>
      <c r="C683" s="4"/>
      <c r="D683" s="4" t="s">
        <v>1631</v>
      </c>
      <c r="E683" s="2" t="s">
        <v>1875</v>
      </c>
      <c r="F683" s="2" t="s">
        <v>1873</v>
      </c>
      <c r="G683" s="2" t="s">
        <v>1617</v>
      </c>
      <c r="H683" s="2" t="s">
        <v>1865</v>
      </c>
      <c r="K683" s="5" t="str">
        <f>CONCATENATE(Table1[[#This Row],[Lead UKGI Contact Forename]],".",Table1[[#This Row],[Lead UKGI Contact Surname]],"@ukgi.org.uk")</f>
        <v>.@ukgi.org.uk</v>
      </c>
    </row>
    <row r="684" spans="1:11" ht="25.5" hidden="1" x14ac:dyDescent="0.2">
      <c r="A684" s="4" t="s">
        <v>1876</v>
      </c>
      <c r="B684" s="4" t="s">
        <v>155</v>
      </c>
      <c r="C684" s="4"/>
      <c r="D684" s="4" t="s">
        <v>37</v>
      </c>
      <c r="E684" s="2" t="s">
        <v>1877</v>
      </c>
      <c r="F684" s="2" t="s">
        <v>1868</v>
      </c>
      <c r="G684" s="2" t="s">
        <v>1617</v>
      </c>
      <c r="H684" s="2" t="s">
        <v>1865</v>
      </c>
      <c r="K684" s="5" t="str">
        <f>CONCATENATE(Table1[[#This Row],[Lead UKGI Contact Forename]],".",Table1[[#This Row],[Lead UKGI Contact Surname]],"@ukgi.org.uk")</f>
        <v>.@ukgi.org.uk</v>
      </c>
    </row>
    <row r="685" spans="1:11" ht="25.5" x14ac:dyDescent="0.2">
      <c r="A685" s="4" t="s">
        <v>1878</v>
      </c>
      <c r="B685" s="4" t="s">
        <v>1879</v>
      </c>
      <c r="C685" s="4"/>
      <c r="D685" s="4" t="s">
        <v>148</v>
      </c>
      <c r="E685" s="2" t="s">
        <v>150</v>
      </c>
      <c r="F685" s="2" t="s">
        <v>1880</v>
      </c>
      <c r="G685" s="2" t="s">
        <v>1617</v>
      </c>
      <c r="H685" s="2" t="s">
        <v>1865</v>
      </c>
      <c r="K685" s="5" t="str">
        <f>CONCATENATE(Table1[[#This Row],[Lead UKGI Contact Forename]],".",Table1[[#This Row],[Lead UKGI Contact Surname]],"@ukgi.org.uk")</f>
        <v>.@ukgi.org.uk</v>
      </c>
    </row>
    <row r="686" spans="1:11" ht="25.5" hidden="1" x14ac:dyDescent="0.2">
      <c r="A686" s="4" t="s">
        <v>1881</v>
      </c>
      <c r="B686" s="4" t="s">
        <v>343</v>
      </c>
      <c r="C686" s="4"/>
      <c r="D686" s="4" t="s">
        <v>37</v>
      </c>
      <c r="E686" s="2" t="s">
        <v>1882</v>
      </c>
      <c r="F686" s="2" t="s">
        <v>1873</v>
      </c>
      <c r="G686" s="2" t="s">
        <v>1617</v>
      </c>
      <c r="H686" s="2" t="s">
        <v>1865</v>
      </c>
      <c r="K686" s="5" t="str">
        <f>CONCATENATE(Table1[[#This Row],[Lead UKGI Contact Forename]],".",Table1[[#This Row],[Lead UKGI Contact Surname]],"@ukgi.org.uk")</f>
        <v>.@ukgi.org.uk</v>
      </c>
    </row>
    <row r="687" spans="1:11" ht="25.5" hidden="1" x14ac:dyDescent="0.2">
      <c r="A687" s="4" t="s">
        <v>1883</v>
      </c>
      <c r="B687" s="4" t="s">
        <v>1884</v>
      </c>
      <c r="C687" s="4"/>
      <c r="D687" s="4" t="s">
        <v>1631</v>
      </c>
      <c r="E687" s="2" t="s">
        <v>1715</v>
      </c>
      <c r="F687" s="2" t="s">
        <v>1864</v>
      </c>
      <c r="G687" s="2" t="s">
        <v>1617</v>
      </c>
      <c r="H687" s="2" t="s">
        <v>1865</v>
      </c>
      <c r="K687" s="5" t="str">
        <f>CONCATENATE(Table1[[#This Row],[Lead UKGI Contact Forename]],".",Table1[[#This Row],[Lead UKGI Contact Surname]],"@ukgi.org.uk")</f>
        <v>.@ukgi.org.uk</v>
      </c>
    </row>
    <row r="688" spans="1:11" ht="25.5" hidden="1" x14ac:dyDescent="0.2">
      <c r="A688" s="4" t="s">
        <v>1885</v>
      </c>
      <c r="B688" s="4" t="s">
        <v>1886</v>
      </c>
      <c r="C688" s="4"/>
      <c r="D688" s="4" t="s">
        <v>1631</v>
      </c>
      <c r="E688" s="2" t="s">
        <v>1887</v>
      </c>
      <c r="F688" s="2" t="s">
        <v>1868</v>
      </c>
      <c r="G688" s="2" t="s">
        <v>1617</v>
      </c>
      <c r="H688" s="2" t="s">
        <v>1865</v>
      </c>
      <c r="K688" s="5" t="str">
        <f>CONCATENATE(Table1[[#This Row],[Lead UKGI Contact Forename]],".",Table1[[#This Row],[Lead UKGI Contact Surname]],"@ukgi.org.uk")</f>
        <v>.@ukgi.org.uk</v>
      </c>
    </row>
    <row r="689" spans="1:15" ht="25.5" hidden="1" x14ac:dyDescent="0.2">
      <c r="A689" s="4" t="s">
        <v>1888</v>
      </c>
      <c r="B689" s="4" t="s">
        <v>1889</v>
      </c>
      <c r="C689" s="4"/>
      <c r="D689" s="4" t="s">
        <v>1631</v>
      </c>
      <c r="E689" s="2" t="s">
        <v>1887</v>
      </c>
      <c r="F689" s="2" t="s">
        <v>1868</v>
      </c>
      <c r="G689" s="2" t="s">
        <v>1617</v>
      </c>
      <c r="H689" s="2" t="s">
        <v>1865</v>
      </c>
      <c r="K689" s="5" t="str">
        <f>CONCATENATE(Table1[[#This Row],[Lead UKGI Contact Forename]],".",Table1[[#This Row],[Lead UKGI Contact Surname]],"@ukgi.org.uk")</f>
        <v>.@ukgi.org.uk</v>
      </c>
    </row>
    <row r="690" spans="1:15" ht="25.5" hidden="1" x14ac:dyDescent="0.2">
      <c r="A690" s="4" t="s">
        <v>798</v>
      </c>
      <c r="B690" s="4" t="s">
        <v>1890</v>
      </c>
      <c r="C690" s="4"/>
      <c r="D690" s="4" t="s">
        <v>1631</v>
      </c>
      <c r="E690" s="2" t="s">
        <v>1891</v>
      </c>
      <c r="F690" s="2" t="s">
        <v>1873</v>
      </c>
      <c r="G690" s="2" t="s">
        <v>1617</v>
      </c>
      <c r="H690" s="2" t="s">
        <v>1865</v>
      </c>
      <c r="K690" s="5" t="str">
        <f>CONCATENATE(Table1[[#This Row],[Lead UKGI Contact Forename]],".",Table1[[#This Row],[Lead UKGI Contact Surname]],"@ukgi.org.uk")</f>
        <v>.@ukgi.org.uk</v>
      </c>
    </row>
    <row r="691" spans="1:15" ht="25.5" hidden="1" x14ac:dyDescent="0.2">
      <c r="A691" s="4" t="s">
        <v>749</v>
      </c>
      <c r="B691" s="4" t="s">
        <v>1892</v>
      </c>
      <c r="C691" s="4"/>
      <c r="D691" s="4" t="s">
        <v>1631</v>
      </c>
      <c r="E691" s="2" t="s">
        <v>1893</v>
      </c>
      <c r="F691" s="2" t="s">
        <v>1868</v>
      </c>
      <c r="G691" s="2" t="s">
        <v>1617</v>
      </c>
      <c r="H691" s="2" t="s">
        <v>1865</v>
      </c>
      <c r="K691" s="5" t="str">
        <f>CONCATENATE(Table1[[#This Row],[Lead UKGI Contact Forename]],".",Table1[[#This Row],[Lead UKGI Contact Surname]],"@ukgi.org.uk")</f>
        <v>.@ukgi.org.uk</v>
      </c>
    </row>
    <row r="692" spans="1:15" ht="25.5" hidden="1" x14ac:dyDescent="0.2">
      <c r="A692" s="4" t="s">
        <v>1894</v>
      </c>
      <c r="B692" s="4" t="s">
        <v>1895</v>
      </c>
      <c r="C692" s="4"/>
      <c r="D692" s="4" t="s">
        <v>1631</v>
      </c>
      <c r="E692" s="2" t="s">
        <v>1896</v>
      </c>
      <c r="F692" s="2" t="s">
        <v>1868</v>
      </c>
      <c r="G692" s="2" t="s">
        <v>1617</v>
      </c>
      <c r="H692" s="2" t="s">
        <v>1865</v>
      </c>
      <c r="K692" s="5" t="str">
        <f>CONCATENATE(Table1[[#This Row],[Lead UKGI Contact Forename]],".",Table1[[#This Row],[Lead UKGI Contact Surname]],"@ukgi.org.uk")</f>
        <v>.@ukgi.org.uk</v>
      </c>
    </row>
    <row r="693" spans="1:15" ht="25.5" hidden="1" x14ac:dyDescent="0.2">
      <c r="A693" s="4" t="s">
        <v>43</v>
      </c>
      <c r="B693" s="4" t="s">
        <v>1897</v>
      </c>
      <c r="C693" s="4"/>
      <c r="D693" s="4" t="s">
        <v>1631</v>
      </c>
      <c r="E693" s="2" t="s">
        <v>1887</v>
      </c>
      <c r="F693" s="2" t="s">
        <v>1868</v>
      </c>
      <c r="G693" s="2" t="s">
        <v>1617</v>
      </c>
      <c r="H693" s="2" t="s">
        <v>1865</v>
      </c>
      <c r="K693" s="5" t="str">
        <f>CONCATENATE(Table1[[#This Row],[Lead UKGI Contact Forename]],".",Table1[[#This Row],[Lead UKGI Contact Surname]],"@ukgi.org.uk")</f>
        <v>.@ukgi.org.uk</v>
      </c>
    </row>
    <row r="694" spans="1:15" ht="25.5" hidden="1" x14ac:dyDescent="0.2">
      <c r="A694" s="4" t="s">
        <v>1898</v>
      </c>
      <c r="B694" s="4" t="s">
        <v>1899</v>
      </c>
      <c r="C694" s="4"/>
      <c r="D694" s="4" t="s">
        <v>1631</v>
      </c>
      <c r="E694" s="2" t="s">
        <v>1900</v>
      </c>
      <c r="F694" s="2" t="s">
        <v>1864</v>
      </c>
      <c r="G694" s="2" t="s">
        <v>1617</v>
      </c>
      <c r="H694" s="2" t="s">
        <v>1865</v>
      </c>
      <c r="K694" s="5" t="str">
        <f>CONCATENATE(Table1[[#This Row],[Lead UKGI Contact Forename]],".",Table1[[#This Row],[Lead UKGI Contact Surname]],"@ukgi.org.uk")</f>
        <v>.@ukgi.org.uk</v>
      </c>
    </row>
    <row r="695" spans="1:15" ht="25.5" hidden="1" x14ac:dyDescent="0.2">
      <c r="A695" s="4" t="s">
        <v>1901</v>
      </c>
      <c r="B695" s="4" t="s">
        <v>121</v>
      </c>
      <c r="C695" s="4"/>
      <c r="D695" s="4" t="s">
        <v>1902</v>
      </c>
      <c r="E695" s="2" t="s">
        <v>1903</v>
      </c>
      <c r="F695" s="2" t="s">
        <v>1904</v>
      </c>
      <c r="G695" s="2" t="s">
        <v>1617</v>
      </c>
      <c r="H695" s="2" t="s">
        <v>1865</v>
      </c>
      <c r="K695" s="5" t="str">
        <f>CONCATENATE(Table1[[#This Row],[Lead UKGI Contact Forename]],".",Table1[[#This Row],[Lead UKGI Contact Surname]],"@ukgi.org.uk")</f>
        <v>.@ukgi.org.uk</v>
      </c>
    </row>
    <row r="696" spans="1:15" ht="25.5" hidden="1" x14ac:dyDescent="0.2">
      <c r="A696" s="4" t="s">
        <v>575</v>
      </c>
      <c r="B696" s="4" t="s">
        <v>265</v>
      </c>
      <c r="C696" s="4"/>
      <c r="D696" s="4" t="s">
        <v>1631</v>
      </c>
      <c r="E696" s="2" t="s">
        <v>1905</v>
      </c>
      <c r="F696" s="2" t="s">
        <v>1868</v>
      </c>
      <c r="G696" s="2" t="s">
        <v>1617</v>
      </c>
      <c r="H696" s="2" t="s">
        <v>1865</v>
      </c>
      <c r="K696" s="5" t="str">
        <f>CONCATENATE(Table1[[#This Row],[Lead UKGI Contact Forename]],".",Table1[[#This Row],[Lead UKGI Contact Surname]],"@ukgi.org.uk")</f>
        <v>.@ukgi.org.uk</v>
      </c>
    </row>
    <row r="697" spans="1:15" ht="25.5" hidden="1" x14ac:dyDescent="0.2">
      <c r="A697" s="4" t="s">
        <v>264</v>
      </c>
      <c r="B697" s="4" t="s">
        <v>142</v>
      </c>
      <c r="C697" s="4"/>
      <c r="D697" s="4" t="s">
        <v>1631</v>
      </c>
      <c r="E697" s="2" t="s">
        <v>1887</v>
      </c>
      <c r="F697" s="2" t="s">
        <v>1868</v>
      </c>
      <c r="G697" s="2" t="s">
        <v>1617</v>
      </c>
      <c r="H697" s="2" t="s">
        <v>1865</v>
      </c>
      <c r="K697" s="5" t="str">
        <f>CONCATENATE(Table1[[#This Row],[Lead UKGI Contact Forename]],".",Table1[[#This Row],[Lead UKGI Contact Surname]],"@ukgi.org.uk")</f>
        <v>.@ukgi.org.uk</v>
      </c>
    </row>
    <row r="698" spans="1:15" ht="25.5" hidden="1" x14ac:dyDescent="0.2">
      <c r="A698" s="4" t="s">
        <v>1906</v>
      </c>
      <c r="B698" s="4" t="s">
        <v>296</v>
      </c>
      <c r="C698" s="4"/>
      <c r="D698" s="4" t="s">
        <v>1631</v>
      </c>
      <c r="E698" s="2" t="s">
        <v>1907</v>
      </c>
      <c r="F698" s="2" t="s">
        <v>1868</v>
      </c>
      <c r="G698" s="2" t="s">
        <v>1617</v>
      </c>
      <c r="H698" s="2" t="s">
        <v>1865</v>
      </c>
      <c r="K698" s="5" t="str">
        <f>CONCATENATE(Table1[[#This Row],[Lead UKGI Contact Forename]],".",Table1[[#This Row],[Lead UKGI Contact Surname]],"@ukgi.org.uk")</f>
        <v>.@ukgi.org.uk</v>
      </c>
    </row>
    <row r="699" spans="1:15" hidden="1" x14ac:dyDescent="0.2">
      <c r="A699" s="4" t="s">
        <v>1908</v>
      </c>
      <c r="B699" s="4" t="s">
        <v>1909</v>
      </c>
      <c r="C699" s="3" t="str">
        <f>CONCATENATE(Table1[[#This Row],[Departmental Contact Forename(s)]],".",Table1[[#This Row],[Departmental Contact Surname]],"@hmtreasury.gov.uk")</f>
        <v>Suzy.Kantor@hmtreasury.gov.uk</v>
      </c>
      <c r="D699" s="4" t="s">
        <v>37</v>
      </c>
      <c r="E699" s="2" t="s">
        <v>1910</v>
      </c>
      <c r="F699" s="2" t="s">
        <v>96</v>
      </c>
      <c r="G699" s="5" t="s">
        <v>40</v>
      </c>
      <c r="H699" s="5" t="s">
        <v>40</v>
      </c>
      <c r="K699" s="5" t="str">
        <f>CONCATENATE(Table1[[#This Row],[Lead UKGI Contact Forename]],".",Table1[[#This Row],[Lead UKGI Contact Surname]],"@ukgi.org.uk")</f>
        <v>.@ukgi.org.uk</v>
      </c>
    </row>
    <row r="700" spans="1:15" hidden="1" x14ac:dyDescent="0.2">
      <c r="A700" s="4" t="s">
        <v>1911</v>
      </c>
      <c r="B700" s="4" t="s">
        <v>1912</v>
      </c>
      <c r="C700" s="3" t="str">
        <f>CONCATENATE(Table1[[#This Row],[Departmental Contact Forename(s)]],".",Table1[[#This Row],[Departmental Contact Surname]],"@hmtreasury.gov.uk")</f>
        <v>Lowri.Khan@hmtreasury.gov.uk</v>
      </c>
      <c r="D700" s="4" t="s">
        <v>37</v>
      </c>
      <c r="E700" s="2" t="s">
        <v>1913</v>
      </c>
      <c r="F700" s="2" t="s">
        <v>65</v>
      </c>
      <c r="G700" s="5" t="s">
        <v>40</v>
      </c>
      <c r="H700" s="5" t="s">
        <v>40</v>
      </c>
      <c r="K700" s="5" t="str">
        <f>CONCATENATE(Table1[[#This Row],[Lead UKGI Contact Forename]],".",Table1[[#This Row],[Lead UKGI Contact Surname]],"@ukgi.org.uk")</f>
        <v>.@ukgi.org.uk</v>
      </c>
    </row>
    <row r="701" spans="1:15" ht="25.5" hidden="1" x14ac:dyDescent="0.2">
      <c r="A701" s="4" t="s">
        <v>1914</v>
      </c>
      <c r="B701" s="4" t="s">
        <v>483</v>
      </c>
      <c r="C701" s="3" t="str">
        <f>CONCATENATE(Table1[[#This Row],[Departmental Contact Forename(s)]],".",Table1[[#This Row],[Departmental Contact Surname]],"@hmtreasury.gov.uk")</f>
        <v>Emma.Knott@hmtreasury.gov.uk</v>
      </c>
      <c r="D701" s="1" t="s">
        <v>45</v>
      </c>
      <c r="E701" s="2" t="s">
        <v>1915</v>
      </c>
      <c r="F701" s="2" t="s">
        <v>53</v>
      </c>
      <c r="G701" s="5" t="s">
        <v>40</v>
      </c>
      <c r="H701" s="5" t="s">
        <v>40</v>
      </c>
      <c r="K701" s="5" t="str">
        <f>CONCATENATE(Table1[[#This Row],[Lead UKGI Contact Forename]],".",Table1[[#This Row],[Lead UKGI Contact Surname]],"@ukgi.org.uk")</f>
        <v>.@ukgi.org.uk</v>
      </c>
    </row>
    <row r="702" spans="1:15" hidden="1" x14ac:dyDescent="0.2">
      <c r="A702" s="4" t="s">
        <v>1916</v>
      </c>
      <c r="B702" s="4" t="s">
        <v>155</v>
      </c>
      <c r="C702" s="3" t="str">
        <f>CONCATENATE(Table1[[#This Row],[Departmental Contact Forename(s)]],".",Table1[[#This Row],[Departmental Contact Surname]],"@hmtreasury.gov.uk")</f>
        <v>Richard.Knox@hmtreasury.gov.uk</v>
      </c>
      <c r="D702" s="4" t="s">
        <v>37</v>
      </c>
      <c r="E702" s="2" t="s">
        <v>64</v>
      </c>
      <c r="F702" s="2" t="s">
        <v>65</v>
      </c>
      <c r="G702" s="5" t="s">
        <v>40</v>
      </c>
      <c r="H702" s="5" t="s">
        <v>40</v>
      </c>
      <c r="K702" s="5" t="str">
        <f>CONCATENATE(Table1[[#This Row],[Lead UKGI Contact Forename]],".",Table1[[#This Row],[Lead UKGI Contact Surname]],"@ukgi.org.uk")</f>
        <v>.@ukgi.org.uk</v>
      </c>
    </row>
    <row r="703" spans="1:15" hidden="1" x14ac:dyDescent="0.2">
      <c r="A703" s="1" t="s">
        <v>608</v>
      </c>
      <c r="B703" s="1" t="s">
        <v>36</v>
      </c>
      <c r="C703" s="3" t="str">
        <f>CONCATENATE(Table1[[#This Row],[Departmental Contact Forename(s)]],".",Table1[[#This Row],[Departmental Contact Surname]],"@hmtreasury.gov.uk")</f>
        <v>Daniel.Gallagher@hmtreasury.gov.uk</v>
      </c>
      <c r="D703" s="4" t="s">
        <v>37</v>
      </c>
      <c r="E703" s="5" t="s">
        <v>1917</v>
      </c>
      <c r="F703" s="5" t="s">
        <v>1918</v>
      </c>
      <c r="G703" s="5" t="s">
        <v>40</v>
      </c>
      <c r="H703" s="5" t="s">
        <v>40</v>
      </c>
      <c r="I703" s="1" t="s">
        <v>1919</v>
      </c>
      <c r="J703" s="1" t="s">
        <v>1920</v>
      </c>
      <c r="K703" s="5" t="str">
        <f>CONCATENATE(Table1[[#This Row],[Lead UKGI Contact Forename]],".",Table1[[#This Row],[Lead UKGI Contact Surname]],"@ukgi.org.uk")</f>
        <v>Shehroze.Junejo@ukgi.org.uk</v>
      </c>
      <c r="O703" s="1" t="s">
        <v>1921</v>
      </c>
    </row>
    <row r="704" spans="1:15" hidden="1" x14ac:dyDescent="0.2">
      <c r="A704" s="2" t="s">
        <v>1922</v>
      </c>
      <c r="B704" s="2" t="s">
        <v>684</v>
      </c>
      <c r="C704" s="3" t="str">
        <f>CONCATENATE(Table1[[#This Row],[Departmental Contact Forename(s)]],".",Table1[[#This Row],[Departmental Contact Surname]],"@hmtreasury.gov.uk")</f>
        <v>Vanessa.MacDougall@hmtreasury.gov.uk</v>
      </c>
      <c r="D704" s="4" t="s">
        <v>37</v>
      </c>
      <c r="E704" s="2" t="s">
        <v>1923</v>
      </c>
      <c r="F704" s="2" t="s">
        <v>96</v>
      </c>
      <c r="G704" s="5" t="s">
        <v>40</v>
      </c>
      <c r="H704" s="5" t="s">
        <v>40</v>
      </c>
      <c r="I704" s="5"/>
      <c r="J704" s="5"/>
      <c r="K704" s="5" t="str">
        <f>CONCATENATE(Table1[[#This Row],[Lead UKGI Contact Forename]],".",Table1[[#This Row],[Lead UKGI Contact Surname]],"@ukgi.org.uk")</f>
        <v>.@ukgi.org.uk</v>
      </c>
      <c r="L704" s="5"/>
      <c r="M704" s="5"/>
    </row>
    <row r="705" spans="1:14" x14ac:dyDescent="0.2">
      <c r="A705" s="1" t="s">
        <v>1924</v>
      </c>
      <c r="B705" s="1" t="s">
        <v>1364</v>
      </c>
      <c r="C705" s="3" t="str">
        <f>CONCATENATE(Table1[[#This Row],[Departmental Contact Forename(s)]],".",Table1[[#This Row],[Departmental Contact Surname]],"@hmtreasury.gov.uk")</f>
        <v>Jim.O'Neil@hmtreasury.gov.uk</v>
      </c>
      <c r="D705" s="4" t="s">
        <v>148</v>
      </c>
      <c r="E705" s="5" t="s">
        <v>239</v>
      </c>
      <c r="F705" s="5" t="s">
        <v>112</v>
      </c>
      <c r="G705" s="5" t="s">
        <v>40</v>
      </c>
      <c r="H705" s="5" t="s">
        <v>40</v>
      </c>
      <c r="I705" s="1" t="s">
        <v>177</v>
      </c>
      <c r="J705" s="1" t="s">
        <v>178</v>
      </c>
      <c r="K705" s="5" t="str">
        <f>CONCATENATE(Table1[[#This Row],[Lead UKGI Contact Forename]],".",Table1[[#This Row],[Lead UKGI Contact Surname]],"@ukgi.org.uk")</f>
        <v>Charles.Donald@ukgi.org.uk</v>
      </c>
      <c r="N705" s="1" t="s">
        <v>119</v>
      </c>
    </row>
    <row r="706" spans="1:14" ht="25.5" hidden="1" x14ac:dyDescent="0.2">
      <c r="A706" s="2" t="s">
        <v>1925</v>
      </c>
      <c r="B706" s="2" t="s">
        <v>996</v>
      </c>
      <c r="C706" s="3" t="str">
        <f>CONCATENATE(Table1[[#This Row],[Departmental Contact Forename(s)]],".",Table1[[#This Row],[Departmental Contact Surname]],"@hmtreasury.gov.uk")</f>
        <v>Rebecca.Molyneux@hmtreasury.gov.uk</v>
      </c>
      <c r="D706" s="1" t="s">
        <v>45</v>
      </c>
      <c r="E706" s="2" t="s">
        <v>1926</v>
      </c>
      <c r="F706" s="2" t="s">
        <v>53</v>
      </c>
      <c r="G706" s="5" t="s">
        <v>40</v>
      </c>
      <c r="H706" s="5" t="s">
        <v>40</v>
      </c>
      <c r="I706" s="5"/>
      <c r="J706" s="5"/>
      <c r="K706" s="5" t="str">
        <f>CONCATENATE(Table1[[#This Row],[Lead UKGI Contact Forename]],".",Table1[[#This Row],[Lead UKGI Contact Surname]],"@ukgi.org.uk")</f>
        <v>.@ukgi.org.uk</v>
      </c>
      <c r="L706" s="5"/>
      <c r="M706" s="5"/>
    </row>
    <row r="707" spans="1:14" hidden="1" x14ac:dyDescent="0.2">
      <c r="A707" s="2" t="s">
        <v>1927</v>
      </c>
      <c r="B707" s="2" t="s">
        <v>1928</v>
      </c>
      <c r="C707" s="3" t="str">
        <f>CONCATENATE(Table1[[#This Row],[Departmental Contact Forename(s)]],".",Table1[[#This Row],[Departmental Contact Surname]],"@hmtreasury.gov.uk")</f>
        <v>Gwyneth.Nurse@hmtreasury.gov.uk</v>
      </c>
      <c r="D707" s="4" t="s">
        <v>110</v>
      </c>
      <c r="E707" s="2" t="s">
        <v>1929</v>
      </c>
      <c r="F707" s="2" t="s">
        <v>1930</v>
      </c>
      <c r="G707" s="5" t="s">
        <v>40</v>
      </c>
      <c r="H707" s="5" t="s">
        <v>40</v>
      </c>
      <c r="I707" s="5"/>
      <c r="J707" s="5"/>
      <c r="K707" s="5" t="str">
        <f>CONCATENATE(Table1[[#This Row],[Lead UKGI Contact Forename]],".",Table1[[#This Row],[Lead UKGI Contact Surname]],"@ukgi.org.uk")</f>
        <v>.@ukgi.org.uk</v>
      </c>
      <c r="L707" s="5"/>
      <c r="M707" s="5"/>
    </row>
    <row r="708" spans="1:14" hidden="1" x14ac:dyDescent="0.2">
      <c r="A708" s="1" t="s">
        <v>1931</v>
      </c>
      <c r="B708" s="1" t="s">
        <v>1932</v>
      </c>
      <c r="C708" s="3" t="str">
        <f>CONCATENATE(Table1[[#This Row],[Departmental Contact Forename(s)]],".",Table1[[#This Row],[Departmental Contact Surname]],"@hmtreasury.gov.uk")</f>
        <v>Cavendish.Elithorn@hmtreasury.gov.uk</v>
      </c>
      <c r="D708" s="4" t="s">
        <v>37</v>
      </c>
      <c r="E708" s="5" t="s">
        <v>1933</v>
      </c>
      <c r="F708" s="5" t="s">
        <v>39</v>
      </c>
      <c r="G708" s="5" t="s">
        <v>40</v>
      </c>
      <c r="H708" s="5" t="s">
        <v>40</v>
      </c>
      <c r="K708" s="5" t="str">
        <f>CONCATENATE(Table1[[#This Row],[Lead UKGI Contact Forename]],".",Table1[[#This Row],[Lead UKGI Contact Surname]],"@ukgi.org.uk")</f>
        <v>.@ukgi.org.uk</v>
      </c>
    </row>
    <row r="709" spans="1:14" hidden="1" x14ac:dyDescent="0.2">
      <c r="A709" s="1" t="s">
        <v>134</v>
      </c>
      <c r="B709" s="1" t="s">
        <v>1651</v>
      </c>
      <c r="C709" s="3" t="str">
        <f>CONCATENATE(Table1[[#This Row],[Departmental Contact Forename(s)]],".",Table1[[#This Row],[Departmental Contact Surname]],"@hmtreasury.gov.uk")</f>
        <v>Sean.Jones@hmtreasury.gov.uk</v>
      </c>
      <c r="D709" s="4" t="s">
        <v>37</v>
      </c>
      <c r="E709" s="5" t="s">
        <v>1934</v>
      </c>
      <c r="F709" s="5" t="s">
        <v>39</v>
      </c>
      <c r="G709" s="5" t="s">
        <v>40</v>
      </c>
      <c r="H709" s="5" t="s">
        <v>40</v>
      </c>
      <c r="J709" s="1" t="s">
        <v>1374</v>
      </c>
      <c r="K709" s="5" t="str">
        <f>CONCATENATE(Table1[[#This Row],[Lead UKGI Contact Forename]],".",Table1[[#This Row],[Lead UKGI Contact Surname]],"@ukgi.org.uk")</f>
        <v>Holger.@ukgi.org.uk</v>
      </c>
    </row>
    <row r="710" spans="1:14" hidden="1" x14ac:dyDescent="0.2">
      <c r="A710" s="1" t="s">
        <v>1935</v>
      </c>
      <c r="B710" s="1" t="s">
        <v>996</v>
      </c>
      <c r="C710" s="3" t="str">
        <f>CONCATENATE(Table1[[#This Row],[Departmental Contact Forename(s)]],".",Table1[[#This Row],[Departmental Contact Surname]],"@hmtreasury.gov.uk")</f>
        <v>Rebecca.Coady@hmtreasury.gov.uk</v>
      </c>
      <c r="D710" s="4" t="s">
        <v>37</v>
      </c>
      <c r="E710" s="5" t="s">
        <v>1936</v>
      </c>
      <c r="F710" s="5" t="s">
        <v>1930</v>
      </c>
      <c r="G710" s="5" t="s">
        <v>40</v>
      </c>
      <c r="H710" s="5" t="s">
        <v>40</v>
      </c>
      <c r="K710" s="5" t="str">
        <f>CONCATENATE(Table1[[#This Row],[Lead UKGI Contact Forename]],".",Table1[[#This Row],[Lead UKGI Contact Surname]],"@ukgi.org.uk")</f>
        <v>.@ukgi.org.uk</v>
      </c>
    </row>
    <row r="711" spans="1:14" ht="25.5" hidden="1" x14ac:dyDescent="0.2">
      <c r="A711" s="1" t="s">
        <v>452</v>
      </c>
      <c r="B711" s="1" t="s">
        <v>1937</v>
      </c>
      <c r="C711" s="6" t="s">
        <v>1938</v>
      </c>
      <c r="D711" s="1" t="s">
        <v>45</v>
      </c>
      <c r="E711" s="5" t="s">
        <v>1939</v>
      </c>
      <c r="F711" s="5" t="s">
        <v>1930</v>
      </c>
      <c r="K711" s="5" t="str">
        <f>CONCATENATE(Table1[[#This Row],[Lead UKGI Contact Forename]],".",Table1[[#This Row],[Lead UKGI Contact Surname]],"@ukgi.org.uk")</f>
        <v>.@ukgi.org.uk</v>
      </c>
    </row>
    <row r="712" spans="1:14" ht="25.5" hidden="1" x14ac:dyDescent="0.2">
      <c r="A712" s="4" t="s">
        <v>295</v>
      </c>
      <c r="B712" s="4" t="s">
        <v>121</v>
      </c>
      <c r="C712" s="4" t="str">
        <f>CONCATENATE(Table1[[#This Row],[Departmental Contact Forename(s)]], ".", Table1[[#This Row],[Departmental Contact Surname]], "@cabinetoffice.gov.uk")</f>
        <v>Timothy.Byford@cabinetoffice.gov.uk</v>
      </c>
      <c r="D712" s="4" t="s">
        <v>37</v>
      </c>
      <c r="E712" s="2" t="s">
        <v>1445</v>
      </c>
      <c r="F712" s="2" t="s">
        <v>1940</v>
      </c>
      <c r="G712" s="2" t="s">
        <v>1447</v>
      </c>
      <c r="H712" s="2" t="s">
        <v>1447</v>
      </c>
      <c r="K712" s="5" t="str">
        <f>CONCATENATE(Table1[[#This Row],[Lead UKGI Contact Forename]],".",Table1[[#This Row],[Lead UKGI Contact Surname]],"@ukgi.org.uk")</f>
        <v>.@ukgi.org.uk</v>
      </c>
    </row>
    <row r="713" spans="1:14" ht="25.5" hidden="1" x14ac:dyDescent="0.2">
      <c r="A713" s="1" t="s">
        <v>452</v>
      </c>
      <c r="B713" s="1" t="s">
        <v>1937</v>
      </c>
      <c r="C713" s="3" t="str">
        <f>CONCATENATE(Table1[[#This Row],[Departmental Contact Forename(s)]],".",Table1[[#This Row],[Departmental Contact Surname]],"@hmtreasury.gov.uk")</f>
        <v>Tanya.Hughes@hmtreasury.gov.uk</v>
      </c>
      <c r="D713" s="1" t="s">
        <v>45</v>
      </c>
      <c r="E713" s="5" t="s">
        <v>1939</v>
      </c>
      <c r="F713" s="5" t="s">
        <v>1930</v>
      </c>
      <c r="G713" s="5" t="s">
        <v>40</v>
      </c>
      <c r="H713" s="5" t="s">
        <v>40</v>
      </c>
      <c r="K713" s="5" t="str">
        <f>CONCATENATE(Table1[[#This Row],[Lead UKGI Contact Forename]],".",Table1[[#This Row],[Lead UKGI Contact Surname]],"@ukgi.org.uk")</f>
        <v>.@ukgi.org.uk</v>
      </c>
    </row>
    <row r="714" spans="1:14" hidden="1" x14ac:dyDescent="0.2">
      <c r="A714" s="2" t="s">
        <v>1941</v>
      </c>
      <c r="B714" s="2" t="s">
        <v>1942</v>
      </c>
      <c r="C714" s="3" t="str">
        <f>CONCATENATE(Table1[[#This Row],[Departmental Contact Forename(s)]],".",Table1[[#This Row],[Departmental Contact Surname]],"@hmtreasury.gov.uk")</f>
        <v>Veda.Poon@hmtreasury.gov.uk</v>
      </c>
      <c r="D714" s="4" t="s">
        <v>37</v>
      </c>
      <c r="E714" s="2" t="s">
        <v>1943</v>
      </c>
      <c r="F714" s="2" t="s">
        <v>96</v>
      </c>
      <c r="G714" s="5" t="s">
        <v>40</v>
      </c>
      <c r="H714" s="5" t="s">
        <v>40</v>
      </c>
      <c r="I714" s="5"/>
      <c r="J714" s="5"/>
      <c r="K714" s="5" t="str">
        <f>CONCATENATE(Table1[[#This Row],[Lead UKGI Contact Forename]],".",Table1[[#This Row],[Lead UKGI Contact Surname]],"@ukgi.org.uk")</f>
        <v>.@ukgi.org.uk</v>
      </c>
      <c r="L714" s="5"/>
      <c r="M714" s="5"/>
    </row>
    <row r="715" spans="1:14" hidden="1" x14ac:dyDescent="0.2">
      <c r="A715" s="1" t="s">
        <v>1944</v>
      </c>
      <c r="B715" s="1" t="s">
        <v>204</v>
      </c>
      <c r="C715" s="3" t="str">
        <f>CONCATENATE(Table1[[#This Row],[Departmental Contact Forename(s)]],".",Table1[[#This Row],[Departmental Contact Surname]],"@hmtreasury.gov.uk")</f>
        <v>Amanda.Clark@hmtreasury.gov.uk</v>
      </c>
      <c r="D715" s="1" t="s">
        <v>45</v>
      </c>
      <c r="E715" s="5" t="s">
        <v>1945</v>
      </c>
      <c r="F715" s="5" t="s">
        <v>1930</v>
      </c>
      <c r="G715" s="5" t="s">
        <v>40</v>
      </c>
      <c r="H715" s="5" t="s">
        <v>40</v>
      </c>
      <c r="K715" s="5" t="str">
        <f>CONCATENATE(Table1[[#This Row],[Lead UKGI Contact Forename]],".",Table1[[#This Row],[Lead UKGI Contact Surname]],"@ukgi.org.uk")</f>
        <v>.@ukgi.org.uk</v>
      </c>
    </row>
    <row r="716" spans="1:14" hidden="1" x14ac:dyDescent="0.2">
      <c r="A716" s="2" t="s">
        <v>1539</v>
      </c>
      <c r="B716" s="2" t="s">
        <v>377</v>
      </c>
      <c r="C716" s="3" t="str">
        <f>CONCATENATE(Table1[[#This Row],[Departmental Contact Forename(s)]],".",Table1[[#This Row],[Departmental Contact Surname]],"@hmtreasury.gov.uk")</f>
        <v>Clare.Roberts@hmtreasury.gov.uk</v>
      </c>
      <c r="D716" s="4" t="s">
        <v>37</v>
      </c>
      <c r="E716" s="2" t="s">
        <v>1946</v>
      </c>
      <c r="F716" s="2" t="s">
        <v>65</v>
      </c>
      <c r="G716" s="5" t="s">
        <v>40</v>
      </c>
      <c r="H716" s="5" t="s">
        <v>40</v>
      </c>
      <c r="I716" s="5"/>
      <c r="J716" s="5"/>
      <c r="K716" s="5" t="str">
        <f>CONCATENATE(Table1[[#This Row],[Lead UKGI Contact Forename]],".",Table1[[#This Row],[Lead UKGI Contact Surname]],"@ukgi.org.uk")</f>
        <v>.@ukgi.org.uk</v>
      </c>
      <c r="L716" s="5"/>
      <c r="M716" s="5"/>
    </row>
    <row r="717" spans="1:14" x14ac:dyDescent="0.2">
      <c r="A717" s="2" t="s">
        <v>575</v>
      </c>
      <c r="B717" s="2" t="s">
        <v>605</v>
      </c>
      <c r="C717" s="3" t="str">
        <f>CONCATENATE(Table1[[#This Row],[Departmental Contact Forename(s)]],".",Table1[[#This Row],[Departmental Contact Surname]],"@hmtreasury.gov.uk")</f>
        <v>Beth.Russell@hmtreasury.gov.uk</v>
      </c>
      <c r="D717" s="4" t="s">
        <v>148</v>
      </c>
      <c r="E717" s="2" t="s">
        <v>239</v>
      </c>
      <c r="F717" s="2" t="s">
        <v>112</v>
      </c>
      <c r="G717" s="5" t="s">
        <v>40</v>
      </c>
      <c r="H717" s="5" t="s">
        <v>40</v>
      </c>
      <c r="I717" s="5" t="s">
        <v>177</v>
      </c>
      <c r="J717" s="5" t="s">
        <v>178</v>
      </c>
      <c r="K717" s="5" t="str">
        <f>CONCATENATE(Table1[[#This Row],[Lead UKGI Contact Forename]],".",Table1[[#This Row],[Lead UKGI Contact Surname]],"@ukgi.org.uk")</f>
        <v>Charles.Donald@ukgi.org.uk</v>
      </c>
      <c r="L717" s="5"/>
      <c r="M717" s="5"/>
    </row>
    <row r="718" spans="1:14" ht="25.5" hidden="1" x14ac:dyDescent="0.2">
      <c r="A718" s="2" t="s">
        <v>1947</v>
      </c>
      <c r="B718" s="2" t="s">
        <v>1948</v>
      </c>
      <c r="C718" s="3" t="str">
        <f>CONCATENATE(Table1[[#This Row],[Departmental Contact Forename(s)]],".",Table1[[#This Row],[Departmental Contact Surname]],"@hmtreasury.gov.uk")</f>
        <v>Fran.Sims@hmtreasury.gov.uk</v>
      </c>
      <c r="D718" s="1" t="s">
        <v>45</v>
      </c>
      <c r="E718" s="2" t="s">
        <v>1949</v>
      </c>
      <c r="F718" s="2" t="s">
        <v>39</v>
      </c>
      <c r="G718" s="5" t="s">
        <v>40</v>
      </c>
      <c r="H718" s="5" t="s">
        <v>40</v>
      </c>
      <c r="I718" s="5"/>
      <c r="J718" s="5"/>
      <c r="K718" s="5" t="str">
        <f>CONCATENATE(Table1[[#This Row],[Lead UKGI Contact Forename]],".",Table1[[#This Row],[Lead UKGI Contact Surname]],"@ukgi.org.uk")</f>
        <v>.@ukgi.org.uk</v>
      </c>
      <c r="L718" s="5"/>
      <c r="M718" s="5"/>
    </row>
    <row r="719" spans="1:14" hidden="1" x14ac:dyDescent="0.2">
      <c r="A719" s="1" t="s">
        <v>1950</v>
      </c>
      <c r="B719" s="1" t="s">
        <v>1263</v>
      </c>
      <c r="C719" s="3" t="str">
        <f>CONCATENATE(Table1[[#This Row],[Departmental Contact Forename(s)]],".",Table1[[#This Row],[Departmental Contact Surname]],"@hmtreasury.gov.uk")</f>
        <v>Rachel.Hitchings@hmtreasury.gov.uk</v>
      </c>
      <c r="D719" s="1" t="s">
        <v>45</v>
      </c>
      <c r="F719" s="5" t="s">
        <v>1930</v>
      </c>
      <c r="G719" s="5" t="s">
        <v>40</v>
      </c>
      <c r="H719" s="5" t="s">
        <v>40</v>
      </c>
      <c r="K719" s="5" t="str">
        <f>CONCATENATE(Table1[[#This Row],[Lead UKGI Contact Forename]],".",Table1[[#This Row],[Lead UKGI Contact Surname]],"@ukgi.org.uk")</f>
        <v>.@ukgi.org.uk</v>
      </c>
    </row>
    <row r="720" spans="1:14" hidden="1" x14ac:dyDescent="0.2">
      <c r="A720" s="1" t="s">
        <v>1951</v>
      </c>
      <c r="B720" s="1" t="s">
        <v>1468</v>
      </c>
      <c r="C720" s="3" t="str">
        <f>CONCATENATE(Table1[[#This Row],[Departmental Contact Forename(s)]],".",Table1[[#This Row],[Departmental Contact Surname]],"@hmtreasury.gov.uk")</f>
        <v>Cat.Sneath@hmtreasury.gov.uk</v>
      </c>
      <c r="D720" s="1" t="s">
        <v>45</v>
      </c>
      <c r="E720" s="5" t="s">
        <v>1952</v>
      </c>
      <c r="F720" s="5" t="s">
        <v>1930</v>
      </c>
      <c r="G720" s="5" t="s">
        <v>40</v>
      </c>
      <c r="H720" s="5" t="s">
        <v>40</v>
      </c>
      <c r="K720" s="5" t="str">
        <f>CONCATENATE(Table1[[#This Row],[Lead UKGI Contact Forename]],".",Table1[[#This Row],[Lead UKGI Contact Surname]],"@ukgi.org.uk")</f>
        <v>.@ukgi.org.uk</v>
      </c>
    </row>
    <row r="721" spans="1:13" hidden="1" x14ac:dyDescent="0.2">
      <c r="A721" s="2" t="s">
        <v>697</v>
      </c>
      <c r="B721" s="2" t="s">
        <v>63</v>
      </c>
      <c r="C721" s="3" t="str">
        <f>CONCATENATE(Table1[[#This Row],[Departmental Contact Forename(s)]],".",Table1[[#This Row],[Departmental Contact Surname]],"@hmtreasury.gov.uk")</f>
        <v>Matthew.Taylor@hmtreasury.gov.uk</v>
      </c>
      <c r="D721" s="4" t="s">
        <v>37</v>
      </c>
      <c r="E721" s="2" t="s">
        <v>1953</v>
      </c>
      <c r="F721" s="2" t="s">
        <v>87</v>
      </c>
      <c r="G721" s="5" t="s">
        <v>40</v>
      </c>
      <c r="H721" s="5" t="s">
        <v>40</v>
      </c>
      <c r="I721" s="5"/>
      <c r="J721" s="5"/>
      <c r="K721" s="5" t="str">
        <f>CONCATENATE(Table1[[#This Row],[Lead UKGI Contact Forename]],".",Table1[[#This Row],[Lead UKGI Contact Surname]],"@ukgi.org.uk")</f>
        <v>.@ukgi.org.uk</v>
      </c>
      <c r="L721" s="5"/>
      <c r="M721" s="5"/>
    </row>
    <row r="722" spans="1:13" hidden="1" x14ac:dyDescent="0.2">
      <c r="A722" s="2" t="s">
        <v>264</v>
      </c>
      <c r="B722" s="2" t="s">
        <v>1024</v>
      </c>
      <c r="C722" s="3" t="str">
        <f>CONCATENATE(Table1[[#This Row],[Departmental Contact Forename(s)]],".",Table1[[#This Row],[Departmental Contact Surname]],"@hmtreasury.gov.uk")</f>
        <v>Antonia.Williams@hmtreasury.gov.uk</v>
      </c>
      <c r="D722" s="4" t="s">
        <v>37</v>
      </c>
      <c r="E722" s="2" t="s">
        <v>1954</v>
      </c>
      <c r="F722" s="2" t="s">
        <v>87</v>
      </c>
      <c r="G722" s="5" t="s">
        <v>40</v>
      </c>
      <c r="H722" s="5" t="s">
        <v>40</v>
      </c>
      <c r="I722" s="5"/>
      <c r="J722" s="5"/>
      <c r="K722" s="5" t="str">
        <f>CONCATENATE(Table1[[#This Row],[Lead UKGI Contact Forename]],".",Table1[[#This Row],[Lead UKGI Contact Surname]],"@ukgi.org.uk")</f>
        <v>.@ukgi.org.uk</v>
      </c>
      <c r="L722" s="5"/>
      <c r="M722" s="5"/>
    </row>
    <row r="723" spans="1:13" hidden="1" x14ac:dyDescent="0.2">
      <c r="A723" s="2" t="s">
        <v>1955</v>
      </c>
      <c r="B723" s="2" t="s">
        <v>343</v>
      </c>
      <c r="C723" s="3" t="str">
        <f>CONCATENATE(Table1[[#This Row],[Departmental Contact Forename(s)]],".",Table1[[#This Row],[Departmental Contact Surname]],"@hmtreasury.gov.uk")</f>
        <v>Robert.Woods@hmtreasury.gov.uk</v>
      </c>
      <c r="D723" s="4" t="s">
        <v>110</v>
      </c>
      <c r="E723" s="2" t="s">
        <v>1956</v>
      </c>
      <c r="F723" s="2" t="s">
        <v>96</v>
      </c>
      <c r="G723" s="5" t="s">
        <v>40</v>
      </c>
      <c r="H723" s="5" t="s">
        <v>40</v>
      </c>
      <c r="I723" s="5"/>
      <c r="J723" s="5"/>
      <c r="K723" s="5" t="str">
        <f>CONCATENATE(Table1[[#This Row],[Lead UKGI Contact Forename]],".",Table1[[#This Row],[Lead UKGI Contact Surname]],"@ukgi.org.uk")</f>
        <v>.@ukgi.org.uk</v>
      </c>
      <c r="L723" s="5"/>
      <c r="M723" s="5"/>
    </row>
    <row r="724" spans="1:13" hidden="1" x14ac:dyDescent="0.2">
      <c r="A724" s="2" t="s">
        <v>1957</v>
      </c>
      <c r="B724" s="2" t="s">
        <v>1958</v>
      </c>
      <c r="C724" s="3" t="str">
        <f>CONCATENATE(Table1[[#This Row],[Departmental Contact Forename(s)]],".",Table1[[#This Row],[Departmental Contact Surname]],"@hmtreasury.gov.uk")</f>
        <v>Lindsey.Whyte@hmtreasury.gov.uk</v>
      </c>
      <c r="D724" s="4" t="s">
        <v>110</v>
      </c>
      <c r="E724" s="2" t="s">
        <v>1959</v>
      </c>
      <c r="F724" s="2" t="s">
        <v>112</v>
      </c>
      <c r="G724" s="5" t="s">
        <v>40</v>
      </c>
      <c r="H724" s="5" t="s">
        <v>40</v>
      </c>
      <c r="I724" s="5"/>
      <c r="J724" s="5"/>
      <c r="K724" s="5" t="str">
        <f>CONCATENATE(Table1[[#This Row],[Lead UKGI Contact Forename]],".",Table1[[#This Row],[Lead UKGI Contact Surname]],"@ukgi.org.uk")</f>
        <v>.@ukgi.org.uk</v>
      </c>
      <c r="L724" s="5"/>
      <c r="M724" s="5"/>
    </row>
    <row r="725" spans="1:13" hidden="1" x14ac:dyDescent="0.2">
      <c r="A725" s="1" t="s">
        <v>1960</v>
      </c>
      <c r="B725" s="1" t="s">
        <v>1961</v>
      </c>
      <c r="C725" s="3" t="str">
        <f>CONCATENATE(Table1[[#This Row],[Departmental Contact Forename(s)]],".",Table1[[#This Row],[Departmental Contact Surname]],"@hmtreasury.gov.uk")</f>
        <v>Gemma.Buttimer@hmtreasury.gov.uk</v>
      </c>
      <c r="D725" s="1" t="s">
        <v>45</v>
      </c>
      <c r="E725" s="5" t="s">
        <v>1962</v>
      </c>
      <c r="F725" s="5" t="s">
        <v>1930</v>
      </c>
      <c r="G725" s="5" t="s">
        <v>40</v>
      </c>
      <c r="H725" s="5" t="s">
        <v>40</v>
      </c>
      <c r="K725" s="5" t="str">
        <f>CONCATENATE(Table1[[#This Row],[Lead UKGI Contact Forename]],".",Table1[[#This Row],[Lead UKGI Contact Surname]],"@ukgi.org.uk")</f>
        <v>.@ukgi.org.uk</v>
      </c>
    </row>
    <row r="726" spans="1:13" ht="25.5" hidden="1" x14ac:dyDescent="0.2">
      <c r="A726" s="1" t="s">
        <v>1963</v>
      </c>
      <c r="B726" s="1" t="s">
        <v>550</v>
      </c>
      <c r="C726" s="6" t="s">
        <v>1964</v>
      </c>
      <c r="D726" s="1" t="s">
        <v>45</v>
      </c>
      <c r="E726" s="5" t="s">
        <v>1965</v>
      </c>
      <c r="F726" s="5" t="s">
        <v>1930</v>
      </c>
      <c r="K726" s="5" t="str">
        <f>CONCATENATE(Table1[[#This Row],[Lead UKGI Contact Forename]],".",Table1[[#This Row],[Lead UKGI Contact Surname]],"@ukgi.org.uk")</f>
        <v>.@ukgi.org.uk</v>
      </c>
    </row>
    <row r="727" spans="1:13" hidden="1" x14ac:dyDescent="0.2">
      <c r="A727" s="1" t="s">
        <v>1966</v>
      </c>
      <c r="B727" s="1" t="s">
        <v>1967</v>
      </c>
      <c r="C727" s="3" t="str">
        <f>CONCATENATE(Table1[[#This Row],[Departmental Contact Forename(s)]],".",Table1[[#This Row],[Departmental Contact Surname]],"@hmtreasury.gov.uk")</f>
        <v>Conrad.Smewing@hmtreasury.gov.uk</v>
      </c>
      <c r="D727" s="1" t="s">
        <v>110</v>
      </c>
      <c r="E727" s="5" t="s">
        <v>1968</v>
      </c>
      <c r="F727" s="5" t="s">
        <v>112</v>
      </c>
      <c r="G727" s="5" t="s">
        <v>40</v>
      </c>
      <c r="H727" s="5" t="s">
        <v>40</v>
      </c>
      <c r="K727" s="5" t="str">
        <f>CONCATENATE(Table1[[#This Row],[Lead UKGI Contact Forename]],".",Table1[[#This Row],[Lead UKGI Contact Surname]],"@ukgi.org.uk")</f>
        <v>.@ukgi.org.uk</v>
      </c>
    </row>
    <row r="728" spans="1:13" ht="76.5" hidden="1" x14ac:dyDescent="0.2">
      <c r="A728" s="4" t="s">
        <v>1969</v>
      </c>
      <c r="B728" s="4" t="s">
        <v>1354</v>
      </c>
      <c r="C728" s="4" t="str">
        <f>CONCATENATE(Table1[[#This Row],[Departmental Contact Forename(s)]], ".", Table1[[#This Row],[Departmental Contact Surname]], "@cabinetoffice.gov.uk")</f>
        <v>Tom.Read@cabinetoffice.gov.uk</v>
      </c>
      <c r="D728" s="4" t="s">
        <v>110</v>
      </c>
      <c r="E728" s="2" t="s">
        <v>1970</v>
      </c>
      <c r="F728" s="2" t="s">
        <v>1971</v>
      </c>
      <c r="G728" s="2" t="s">
        <v>1447</v>
      </c>
      <c r="H728" s="2" t="s">
        <v>1447</v>
      </c>
      <c r="K728" s="5" t="str">
        <f>CONCATENATE(Table1[[#This Row],[Lead UKGI Contact Forename]],".",Table1[[#This Row],[Lead UKGI Contact Surname]],"@ukgi.org.uk")</f>
        <v>.@ukgi.org.uk</v>
      </c>
    </row>
    <row r="729" spans="1:13" ht="25.5" hidden="1" x14ac:dyDescent="0.2">
      <c r="A729" s="4" t="s">
        <v>1778</v>
      </c>
      <c r="B729" s="4" t="s">
        <v>609</v>
      </c>
      <c r="C729" s="4" t="str">
        <f>CONCATENATE(Table1[[#This Row],[Departmental Contact Forename(s)]], ".", Table1[[#This Row],[Departmental Contact Surname]], "@cabinetoffice.gov.uk")</f>
        <v>William.May@cabinetoffice.gov.uk</v>
      </c>
      <c r="D729" s="4" t="s">
        <v>37</v>
      </c>
      <c r="E729" s="2" t="s">
        <v>1972</v>
      </c>
      <c r="F729" s="2" t="s">
        <v>1973</v>
      </c>
      <c r="G729" s="2" t="s">
        <v>1447</v>
      </c>
      <c r="H729" s="2" t="s">
        <v>1447</v>
      </c>
      <c r="K729" s="5" t="str">
        <f>CONCATENATE(Table1[[#This Row],[Lead UKGI Contact Forename]],".",Table1[[#This Row],[Lead UKGI Contact Surname]],"@ukgi.org.uk")</f>
        <v>.@ukgi.org.uk</v>
      </c>
    </row>
    <row r="730" spans="1:13" ht="25.5" hidden="1" x14ac:dyDescent="0.2">
      <c r="A730" s="1" t="s">
        <v>1974</v>
      </c>
      <c r="B730" s="1" t="s">
        <v>332</v>
      </c>
      <c r="C730" s="6" t="s">
        <v>1975</v>
      </c>
      <c r="E730" s="5" t="s">
        <v>1976</v>
      </c>
      <c r="F730" s="5" t="s">
        <v>1977</v>
      </c>
      <c r="G730" s="5" t="s">
        <v>1978</v>
      </c>
      <c r="H730" s="5" t="s">
        <v>1978</v>
      </c>
      <c r="I730" s="1" t="s">
        <v>1979</v>
      </c>
      <c r="J730" s="1" t="s">
        <v>1980</v>
      </c>
      <c r="K730" s="5" t="str">
        <f>CONCATENATE(Table1[[#This Row],[Lead UKGI Contact Forename]],".",Table1[[#This Row],[Lead UKGI Contact Surname]],"@ukgi.org.uk")</f>
        <v>Sonal.Parmar@ukgi.org.uk</v>
      </c>
    </row>
    <row r="731" spans="1:13" ht="25.5" hidden="1" x14ac:dyDescent="0.2">
      <c r="A731" s="1" t="s">
        <v>1866</v>
      </c>
      <c r="B731" s="1" t="s">
        <v>103</v>
      </c>
      <c r="C731" s="6" t="s">
        <v>1981</v>
      </c>
      <c r="E731" s="5" t="s">
        <v>1902</v>
      </c>
      <c r="F731" s="5" t="s">
        <v>1977</v>
      </c>
      <c r="G731" s="5" t="s">
        <v>1978</v>
      </c>
      <c r="H731" s="5" t="s">
        <v>1982</v>
      </c>
      <c r="I731" s="1" t="s">
        <v>1979</v>
      </c>
      <c r="J731" s="1" t="s">
        <v>1980</v>
      </c>
      <c r="K731" s="5" t="str">
        <f>CONCATENATE(Table1[[#This Row],[Lead UKGI Contact Forename]],".",Table1[[#This Row],[Lead UKGI Contact Surname]],"@ukgi.org.uk")</f>
        <v>Sonal.Parmar@ukgi.org.uk</v>
      </c>
    </row>
    <row r="732" spans="1:13" ht="25.5" hidden="1" x14ac:dyDescent="0.2">
      <c r="A732" s="1" t="s">
        <v>692</v>
      </c>
      <c r="B732" s="1" t="s">
        <v>265</v>
      </c>
      <c r="C732" s="6" t="s">
        <v>1983</v>
      </c>
      <c r="G732" s="5" t="s">
        <v>1978</v>
      </c>
      <c r="H732" s="5" t="s">
        <v>1982</v>
      </c>
      <c r="I732" s="1" t="s">
        <v>1979</v>
      </c>
      <c r="J732" s="1" t="s">
        <v>1980</v>
      </c>
      <c r="K732" s="5" t="str">
        <f>CONCATENATE(Table1[[#This Row],[Lead UKGI Contact Forename]],".",Table1[[#This Row],[Lead UKGI Contact Surname]],"@ukgi.org.uk")</f>
        <v>Sonal.Parmar@ukgi.org.uk</v>
      </c>
    </row>
    <row r="733" spans="1:13" ht="25.5" hidden="1" x14ac:dyDescent="0.2">
      <c r="A733" s="1" t="s">
        <v>1984</v>
      </c>
      <c r="B733" s="1" t="s">
        <v>1985</v>
      </c>
      <c r="C733" s="6" t="s">
        <v>1986</v>
      </c>
      <c r="E733" s="5" t="s">
        <v>1987</v>
      </c>
      <c r="F733" s="5" t="s">
        <v>1988</v>
      </c>
      <c r="G733" s="5" t="s">
        <v>1978</v>
      </c>
      <c r="H733" s="5" t="s">
        <v>1978</v>
      </c>
      <c r="I733" s="1" t="s">
        <v>1979</v>
      </c>
      <c r="J733" s="1" t="s">
        <v>1980</v>
      </c>
      <c r="K733" s="5" t="str">
        <f>CONCATENATE(Table1[[#This Row],[Lead UKGI Contact Forename]],".",Table1[[#This Row],[Lead UKGI Contact Surname]],"@ukgi.org.uk")</f>
        <v>Sonal.Parmar@ukgi.org.uk</v>
      </c>
    </row>
    <row r="734" spans="1:13" ht="25.5" hidden="1" x14ac:dyDescent="0.2">
      <c r="A734" s="1" t="s">
        <v>1989</v>
      </c>
      <c r="B734" s="1" t="s">
        <v>512</v>
      </c>
      <c r="C734" s="6" t="s">
        <v>1990</v>
      </c>
      <c r="E734" s="5" t="s">
        <v>1991</v>
      </c>
      <c r="F734" s="5" t="s">
        <v>1988</v>
      </c>
      <c r="G734" s="5" t="s">
        <v>1978</v>
      </c>
      <c r="H734" s="5" t="s">
        <v>1978</v>
      </c>
      <c r="I734" s="1" t="s">
        <v>1979</v>
      </c>
      <c r="J734" s="1" t="s">
        <v>1980</v>
      </c>
      <c r="K734" s="5" t="str">
        <f>CONCATENATE(Table1[[#This Row],[Lead UKGI Contact Forename]],".",Table1[[#This Row],[Lead UKGI Contact Surname]],"@ukgi.org.uk")</f>
        <v>Sonal.Parmar@ukgi.org.uk</v>
      </c>
    </row>
    <row r="735" spans="1:13" ht="25.5" hidden="1" x14ac:dyDescent="0.2">
      <c r="A735" s="1" t="s">
        <v>1992</v>
      </c>
      <c r="B735" s="1" t="s">
        <v>1993</v>
      </c>
      <c r="C735" s="6" t="s">
        <v>1994</v>
      </c>
      <c r="E735" s="5" t="s">
        <v>1995</v>
      </c>
      <c r="F735" s="5" t="s">
        <v>1988</v>
      </c>
      <c r="G735" s="5" t="s">
        <v>1978</v>
      </c>
      <c r="H735" s="5" t="s">
        <v>1978</v>
      </c>
      <c r="I735" s="1" t="s">
        <v>1979</v>
      </c>
      <c r="J735" s="1" t="s">
        <v>1980</v>
      </c>
      <c r="K735" s="5" t="str">
        <f>CONCATENATE(Table1[[#This Row],[Lead UKGI Contact Forename]],".",Table1[[#This Row],[Lead UKGI Contact Surname]],"@ukgi.org.uk")</f>
        <v>Sonal.Parmar@ukgi.org.uk</v>
      </c>
    </row>
    <row r="736" spans="1:13" ht="25.5" hidden="1" x14ac:dyDescent="0.2">
      <c r="A736" s="1" t="s">
        <v>1996</v>
      </c>
      <c r="B736" s="1" t="s">
        <v>1997</v>
      </c>
      <c r="C736" s="6" t="s">
        <v>1998</v>
      </c>
      <c r="E736" s="5" t="s">
        <v>1999</v>
      </c>
      <c r="F736" s="5" t="s">
        <v>2000</v>
      </c>
      <c r="G736" s="5" t="s">
        <v>1978</v>
      </c>
      <c r="H736" s="5" t="s">
        <v>1978</v>
      </c>
      <c r="I736" s="1" t="s">
        <v>1979</v>
      </c>
      <c r="J736" s="1" t="s">
        <v>1980</v>
      </c>
      <c r="K736" s="5" t="str">
        <f>CONCATENATE(Table1[[#This Row],[Lead UKGI Contact Forename]],".",Table1[[#This Row],[Lead UKGI Contact Surname]],"@ukgi.org.uk")</f>
        <v>Sonal.Parmar@ukgi.org.uk</v>
      </c>
    </row>
    <row r="737" spans="1:11" ht="25.5" hidden="1" x14ac:dyDescent="0.2">
      <c r="A737" s="1" t="s">
        <v>2001</v>
      </c>
      <c r="B737" s="1" t="s">
        <v>223</v>
      </c>
      <c r="C737" s="6" t="s">
        <v>2002</v>
      </c>
      <c r="E737" s="5" t="s">
        <v>1999</v>
      </c>
      <c r="F737" s="5" t="s">
        <v>2000</v>
      </c>
      <c r="G737" s="5" t="s">
        <v>1978</v>
      </c>
      <c r="H737" s="5" t="s">
        <v>1978</v>
      </c>
      <c r="I737" s="1" t="s">
        <v>1979</v>
      </c>
      <c r="J737" s="1" t="s">
        <v>1980</v>
      </c>
      <c r="K737" s="5" t="str">
        <f>CONCATENATE(Table1[[#This Row],[Lead UKGI Contact Forename]],".",Table1[[#This Row],[Lead UKGI Contact Surname]],"@ukgi.org.uk")</f>
        <v>Sonal.Parmar@ukgi.org.uk</v>
      </c>
    </row>
    <row r="738" spans="1:11" ht="25.5" hidden="1" x14ac:dyDescent="0.2">
      <c r="A738" s="1" t="s">
        <v>2003</v>
      </c>
      <c r="B738" s="1" t="s">
        <v>155</v>
      </c>
      <c r="C738" s="6" t="s">
        <v>2004</v>
      </c>
      <c r="F738" s="5" t="s">
        <v>2005</v>
      </c>
      <c r="G738" s="5" t="s">
        <v>1978</v>
      </c>
      <c r="H738" s="5" t="s">
        <v>1978</v>
      </c>
      <c r="I738" s="1" t="s">
        <v>1979</v>
      </c>
      <c r="J738" s="1" t="s">
        <v>1980</v>
      </c>
      <c r="K738" s="5" t="str">
        <f>CONCATENATE(Table1[[#This Row],[Lead UKGI Contact Forename]],".",Table1[[#This Row],[Lead UKGI Contact Surname]],"@ukgi.org.uk")</f>
        <v>Sonal.Parmar@ukgi.org.uk</v>
      </c>
    </row>
    <row r="739" spans="1:11" ht="25.5" hidden="1" x14ac:dyDescent="0.2">
      <c r="A739" s="1" t="s">
        <v>1866</v>
      </c>
      <c r="B739" s="1" t="s">
        <v>63</v>
      </c>
      <c r="C739" s="6" t="s">
        <v>2006</v>
      </c>
      <c r="F739" s="5" t="s">
        <v>2005</v>
      </c>
      <c r="G739" s="5" t="s">
        <v>1978</v>
      </c>
      <c r="H739" s="5" t="s">
        <v>1978</v>
      </c>
      <c r="I739" s="1" t="s">
        <v>1979</v>
      </c>
      <c r="J739" s="1" t="s">
        <v>1980</v>
      </c>
      <c r="K739" s="5" t="str">
        <f>CONCATENATE(Table1[[#This Row],[Lead UKGI Contact Forename]],".",Table1[[#This Row],[Lead UKGI Contact Surname]],"@ukgi.org.uk")</f>
        <v>Sonal.Parmar@ukgi.org.uk</v>
      </c>
    </row>
    <row r="740" spans="1:11" ht="25.5" hidden="1" x14ac:dyDescent="0.2">
      <c r="A740" s="1" t="s">
        <v>2007</v>
      </c>
      <c r="B740" s="1" t="s">
        <v>382</v>
      </c>
      <c r="C740" s="6" t="s">
        <v>2008</v>
      </c>
      <c r="F740" s="5" t="s">
        <v>1988</v>
      </c>
      <c r="G740" s="5" t="s">
        <v>1978</v>
      </c>
      <c r="H740" s="5" t="s">
        <v>1978</v>
      </c>
      <c r="I740" s="1" t="s">
        <v>1979</v>
      </c>
      <c r="J740" s="1" t="s">
        <v>1980</v>
      </c>
      <c r="K740" s="5" t="str">
        <f>CONCATENATE(Table1[[#This Row],[Lead UKGI Contact Forename]],".",Table1[[#This Row],[Lead UKGI Contact Surname]],"@ukgi.org.uk")</f>
        <v>Sonal.Parmar@ukgi.org.uk</v>
      </c>
    </row>
    <row r="741" spans="1:11" ht="25.5" hidden="1" x14ac:dyDescent="0.2">
      <c r="A741" s="1" t="s">
        <v>2009</v>
      </c>
      <c r="B741" s="1" t="s">
        <v>2010</v>
      </c>
      <c r="C741" s="6" t="s">
        <v>2011</v>
      </c>
      <c r="E741" s="5" t="s">
        <v>2012</v>
      </c>
      <c r="F741" s="5" t="s">
        <v>1988</v>
      </c>
      <c r="G741" s="5" t="s">
        <v>1978</v>
      </c>
      <c r="H741" s="5" t="s">
        <v>1978</v>
      </c>
      <c r="I741" s="1" t="s">
        <v>1979</v>
      </c>
      <c r="J741" s="1" t="s">
        <v>1980</v>
      </c>
      <c r="K741" s="5" t="str">
        <f>CONCATENATE(Table1[[#This Row],[Lead UKGI Contact Forename]],".",Table1[[#This Row],[Lead UKGI Contact Surname]],"@ukgi.org.uk")</f>
        <v>Sonal.Parmar@ukgi.org.uk</v>
      </c>
    </row>
    <row r="742" spans="1:11" ht="25.5" hidden="1" x14ac:dyDescent="0.2">
      <c r="A742" s="1" t="s">
        <v>2013</v>
      </c>
      <c r="B742" s="1" t="s">
        <v>2014</v>
      </c>
      <c r="C742" s="6" t="s">
        <v>2015</v>
      </c>
      <c r="E742" s="5" t="s">
        <v>2016</v>
      </c>
      <c r="F742" s="5" t="s">
        <v>1988</v>
      </c>
      <c r="G742" s="5" t="s">
        <v>1978</v>
      </c>
      <c r="H742" s="5" t="s">
        <v>1978</v>
      </c>
      <c r="I742" s="1" t="s">
        <v>1979</v>
      </c>
      <c r="J742" s="1" t="s">
        <v>1980</v>
      </c>
      <c r="K742" s="5" t="str">
        <f>CONCATENATE(Table1[[#This Row],[Lead UKGI Contact Forename]],".",Table1[[#This Row],[Lead UKGI Contact Surname]],"@ukgi.org.uk")</f>
        <v>Sonal.Parmar@ukgi.org.uk</v>
      </c>
    </row>
    <row r="743" spans="1:11" ht="25.5" hidden="1" x14ac:dyDescent="0.2">
      <c r="A743" s="1" t="s">
        <v>1243</v>
      </c>
      <c r="B743" s="1" t="s">
        <v>155</v>
      </c>
      <c r="C743" s="6" t="s">
        <v>2017</v>
      </c>
      <c r="E743" s="5" t="s">
        <v>2018</v>
      </c>
      <c r="F743" s="5" t="s">
        <v>1988</v>
      </c>
      <c r="G743" s="5" t="s">
        <v>1978</v>
      </c>
      <c r="H743" s="5" t="s">
        <v>1978</v>
      </c>
      <c r="I743" s="1" t="s">
        <v>1979</v>
      </c>
      <c r="J743" s="1" t="s">
        <v>1980</v>
      </c>
      <c r="K743" s="5" t="str">
        <f>CONCATENATE(Table1[[#This Row],[Lead UKGI Contact Forename]],".",Table1[[#This Row],[Lead UKGI Contact Surname]],"@ukgi.org.uk")</f>
        <v>Sonal.Parmar@ukgi.org.uk</v>
      </c>
    </row>
    <row r="744" spans="1:11" ht="25.5" hidden="1" x14ac:dyDescent="0.2">
      <c r="A744" s="1" t="s">
        <v>2019</v>
      </c>
      <c r="B744" s="1" t="s">
        <v>1354</v>
      </c>
      <c r="C744" s="6" t="s">
        <v>2020</v>
      </c>
      <c r="E744" s="5" t="s">
        <v>2021</v>
      </c>
      <c r="G744" s="5" t="s">
        <v>2022</v>
      </c>
      <c r="H744" s="5" t="s">
        <v>2022</v>
      </c>
      <c r="I744" s="1" t="s">
        <v>2023</v>
      </c>
      <c r="J744" s="1" t="s">
        <v>243</v>
      </c>
      <c r="K744" s="5" t="str">
        <f>CONCATENATE(Table1[[#This Row],[Lead UKGI Contact Forename]],".",Table1[[#This Row],[Lead UKGI Contact Surname]],"@ukgi.org.uk")</f>
        <v>Kelly.Panes@ukgi.org.uk</v>
      </c>
    </row>
    <row r="745" spans="1:11" ht="25.5" hidden="1" x14ac:dyDescent="0.2">
      <c r="A745" s="1" t="s">
        <v>1539</v>
      </c>
      <c r="B745" s="1" t="s">
        <v>836</v>
      </c>
      <c r="C745" s="6" t="s">
        <v>2024</v>
      </c>
      <c r="G745" s="5" t="s">
        <v>2022</v>
      </c>
      <c r="H745" s="5" t="s">
        <v>2022</v>
      </c>
      <c r="I745" s="1" t="s">
        <v>2023</v>
      </c>
      <c r="J745" s="1" t="s">
        <v>243</v>
      </c>
      <c r="K745" s="5" t="str">
        <f>CONCATENATE(Table1[[#This Row],[Lead UKGI Contact Forename]],".",Table1[[#This Row],[Lead UKGI Contact Surname]],"@ukgi.org.uk")</f>
        <v>Kelly.Panes@ukgi.org.uk</v>
      </c>
    </row>
    <row r="746" spans="1:11" ht="25.5" hidden="1" x14ac:dyDescent="0.2">
      <c r="A746" s="1" t="s">
        <v>2025</v>
      </c>
      <c r="B746" s="1" t="s">
        <v>419</v>
      </c>
      <c r="C746" s="6" t="s">
        <v>2026</v>
      </c>
      <c r="E746" s="5" t="s">
        <v>2027</v>
      </c>
      <c r="G746" s="5" t="s">
        <v>2022</v>
      </c>
      <c r="H746" s="5" t="s">
        <v>2022</v>
      </c>
      <c r="I746" s="1" t="s">
        <v>2023</v>
      </c>
      <c r="J746" s="1" t="s">
        <v>243</v>
      </c>
      <c r="K746" s="5" t="str">
        <f>CONCATENATE(Table1[[#This Row],[Lead UKGI Contact Forename]],".",Table1[[#This Row],[Lead UKGI Contact Surname]],"@ukgi.org.uk")</f>
        <v>Kelly.Panes@ukgi.org.uk</v>
      </c>
    </row>
    <row r="747" spans="1:11" ht="25.5" hidden="1" x14ac:dyDescent="0.2">
      <c r="A747" s="1" t="s">
        <v>2028</v>
      </c>
      <c r="B747" s="1" t="s">
        <v>821</v>
      </c>
      <c r="C747" s="6" t="s">
        <v>2029</v>
      </c>
      <c r="G747" s="5" t="s">
        <v>2022</v>
      </c>
      <c r="H747" s="5" t="s">
        <v>2022</v>
      </c>
      <c r="I747" s="1" t="s">
        <v>2023</v>
      </c>
      <c r="J747" s="1" t="s">
        <v>243</v>
      </c>
      <c r="K747" s="5" t="str">
        <f>CONCATENATE(Table1[[#This Row],[Lead UKGI Contact Forename]],".",Table1[[#This Row],[Lead UKGI Contact Surname]],"@ukgi.org.uk")</f>
        <v>Kelly.Panes@ukgi.org.uk</v>
      </c>
    </row>
    <row r="748" spans="1:11" ht="38.25" hidden="1" x14ac:dyDescent="0.2">
      <c r="A748" s="1" t="s">
        <v>2030</v>
      </c>
      <c r="B748" s="1" t="s">
        <v>265</v>
      </c>
      <c r="C748" s="6" t="s">
        <v>2031</v>
      </c>
      <c r="E748" s="5" t="s">
        <v>2032</v>
      </c>
      <c r="G748" s="5" t="s">
        <v>938</v>
      </c>
      <c r="H748" s="5" t="s">
        <v>938</v>
      </c>
      <c r="I748" s="1" t="s">
        <v>2033</v>
      </c>
      <c r="J748" s="1" t="s">
        <v>818</v>
      </c>
      <c r="K748" s="5" t="str">
        <f>CONCATENATE(Table1[[#This Row],[Lead UKGI Contact Forename]],".",Table1[[#This Row],[Lead UKGI Contact Surname]],"@ukgi.org.uk")</f>
        <v>Kris.Walters@ukgi.org.uk</v>
      </c>
    </row>
    <row r="749" spans="1:11" ht="25.5" hidden="1" x14ac:dyDescent="0.2">
      <c r="A749" s="1" t="s">
        <v>2034</v>
      </c>
      <c r="B749" s="1" t="s">
        <v>483</v>
      </c>
      <c r="C749" s="6" t="s">
        <v>2035</v>
      </c>
      <c r="G749" s="5" t="s">
        <v>2036</v>
      </c>
      <c r="H749" s="5" t="s">
        <v>2036</v>
      </c>
      <c r="I749" s="1" t="s">
        <v>2033</v>
      </c>
      <c r="J749" s="1" t="s">
        <v>818</v>
      </c>
      <c r="K749" s="5" t="str">
        <f>CONCATENATE(Table1[[#This Row],[Lead UKGI Contact Forename]],".",Table1[[#This Row],[Lead UKGI Contact Surname]],"@ukgi.org.uk")</f>
        <v>Kris.Walters@ukgi.org.uk</v>
      </c>
    </row>
    <row r="750" spans="1:11" ht="25.5" hidden="1" x14ac:dyDescent="0.2">
      <c r="A750" s="1" t="s">
        <v>2037</v>
      </c>
      <c r="B750" s="1" t="s">
        <v>483</v>
      </c>
      <c r="C750" s="6" t="s">
        <v>2038</v>
      </c>
      <c r="F750" s="5" t="s">
        <v>2039</v>
      </c>
      <c r="G750" s="5" t="s">
        <v>2036</v>
      </c>
      <c r="H750" s="5" t="s">
        <v>2036</v>
      </c>
      <c r="I750" s="1" t="s">
        <v>2033</v>
      </c>
      <c r="J750" s="1" t="s">
        <v>818</v>
      </c>
      <c r="K750" s="5" t="str">
        <f>CONCATENATE(Table1[[#This Row],[Lead UKGI Contact Forename]],".",Table1[[#This Row],[Lead UKGI Contact Surname]],"@ukgi.org.uk")</f>
        <v>Kris.Walters@ukgi.org.uk</v>
      </c>
    </row>
    <row r="751" spans="1:11" ht="25.5" hidden="1" x14ac:dyDescent="0.2">
      <c r="A751" s="1" t="s">
        <v>2040</v>
      </c>
      <c r="B751" s="1" t="s">
        <v>2041</v>
      </c>
      <c r="C751" s="6" t="s">
        <v>2042</v>
      </c>
      <c r="E751" s="5" t="s">
        <v>2012</v>
      </c>
      <c r="F751" s="5" t="s">
        <v>2039</v>
      </c>
      <c r="G751" s="5" t="s">
        <v>2036</v>
      </c>
      <c r="H751" s="5" t="s">
        <v>2036</v>
      </c>
      <c r="I751" s="1" t="s">
        <v>2033</v>
      </c>
      <c r="J751" s="1" t="s">
        <v>818</v>
      </c>
      <c r="K751" s="5" t="str">
        <f>CONCATENATE(Table1[[#This Row],[Lead UKGI Contact Forename]],".",Table1[[#This Row],[Lead UKGI Contact Surname]],"@ukgi.org.uk")</f>
        <v>Kris.Walters@ukgi.org.uk</v>
      </c>
    </row>
    <row r="752" spans="1:11" ht="25.5" hidden="1" x14ac:dyDescent="0.2">
      <c r="A752" s="1" t="s">
        <v>2043</v>
      </c>
      <c r="B752" s="1" t="s">
        <v>2044</v>
      </c>
      <c r="C752" s="6" t="s">
        <v>2045</v>
      </c>
      <c r="F752" s="5" t="s">
        <v>2039</v>
      </c>
      <c r="G752" s="5" t="s">
        <v>2036</v>
      </c>
      <c r="H752" s="5" t="s">
        <v>2036</v>
      </c>
      <c r="I752" s="1" t="s">
        <v>2033</v>
      </c>
      <c r="J752" s="1" t="s">
        <v>818</v>
      </c>
      <c r="K752" s="5" t="str">
        <f>CONCATENATE(Table1[[#This Row],[Lead UKGI Contact Forename]],".",Table1[[#This Row],[Lead UKGI Contact Surname]],"@ukgi.org.uk")</f>
        <v>Kris.Walters@ukgi.org.uk</v>
      </c>
    </row>
    <row r="753" spans="1:11" ht="25.5" hidden="1" x14ac:dyDescent="0.2">
      <c r="A753" s="1" t="s">
        <v>2046</v>
      </c>
      <c r="B753" s="1" t="s">
        <v>1723</v>
      </c>
      <c r="C753" s="6" t="s">
        <v>2047</v>
      </c>
      <c r="E753" s="5" t="s">
        <v>2048</v>
      </c>
      <c r="F753" s="5" t="s">
        <v>2039</v>
      </c>
      <c r="G753" s="5" t="s">
        <v>2036</v>
      </c>
      <c r="H753" s="5" t="s">
        <v>2036</v>
      </c>
      <c r="I753" s="1" t="s">
        <v>2033</v>
      </c>
      <c r="J753" s="1" t="s">
        <v>818</v>
      </c>
      <c r="K753" s="5" t="str">
        <f>CONCATENATE(Table1[[#This Row],[Lead UKGI Contact Forename]],".",Table1[[#This Row],[Lead UKGI Contact Surname]],"@ukgi.org.uk")</f>
        <v>Kris.Walters@ukgi.org.uk</v>
      </c>
    </row>
    <row r="754" spans="1:11" ht="25.5" hidden="1" x14ac:dyDescent="0.2">
      <c r="A754" s="1" t="s">
        <v>2049</v>
      </c>
      <c r="B754" s="1" t="s">
        <v>1665</v>
      </c>
      <c r="C754" s="6" t="s">
        <v>2050</v>
      </c>
      <c r="G754" s="5" t="s">
        <v>2036</v>
      </c>
      <c r="H754" s="5" t="s">
        <v>2036</v>
      </c>
      <c r="I754" s="1" t="s">
        <v>2033</v>
      </c>
      <c r="J754" s="1" t="s">
        <v>818</v>
      </c>
      <c r="K754" s="5" t="str">
        <f>CONCATENATE(Table1[[#This Row],[Lead UKGI Contact Forename]],".",Table1[[#This Row],[Lead UKGI Contact Surname]],"@ukgi.org.uk")</f>
        <v>Kris.Walters@ukgi.org.uk</v>
      </c>
    </row>
    <row r="755" spans="1:11" ht="25.5" hidden="1" x14ac:dyDescent="0.2">
      <c r="A755" s="1" t="s">
        <v>2051</v>
      </c>
      <c r="B755" s="1" t="s">
        <v>2052</v>
      </c>
      <c r="C755" s="6" t="s">
        <v>2053</v>
      </c>
      <c r="G755" s="5" t="s">
        <v>2036</v>
      </c>
      <c r="H755" s="5" t="s">
        <v>2036</v>
      </c>
      <c r="I755" s="1" t="s">
        <v>2033</v>
      </c>
      <c r="J755" s="1" t="s">
        <v>818</v>
      </c>
      <c r="K755" s="5" t="str">
        <f>CONCATENATE(Table1[[#This Row],[Lead UKGI Contact Forename]],".",Table1[[#This Row],[Lead UKGI Contact Surname]],"@ukgi.org.uk")</f>
        <v>Kris.Walters@ukgi.org.uk</v>
      </c>
    </row>
    <row r="756" spans="1:11" ht="25.5" hidden="1" x14ac:dyDescent="0.2">
      <c r="A756" s="1" t="s">
        <v>2054</v>
      </c>
      <c r="B756" s="1" t="s">
        <v>2055</v>
      </c>
      <c r="C756" s="6" t="s">
        <v>2056</v>
      </c>
      <c r="G756" s="5" t="s">
        <v>2036</v>
      </c>
      <c r="H756" s="5" t="s">
        <v>2036</v>
      </c>
      <c r="I756" s="1" t="s">
        <v>2033</v>
      </c>
      <c r="J756" s="1" t="s">
        <v>818</v>
      </c>
      <c r="K756" s="5" t="str">
        <f>CONCATENATE(Table1[[#This Row],[Lead UKGI Contact Forename]],".",Table1[[#This Row],[Lead UKGI Contact Surname]],"@ukgi.org.uk")</f>
        <v>Kris.Walters@ukgi.org.uk</v>
      </c>
    </row>
    <row r="757" spans="1:11" hidden="1" x14ac:dyDescent="0.2">
      <c r="A757" s="1" t="s">
        <v>2057</v>
      </c>
      <c r="B757" s="1" t="s">
        <v>51</v>
      </c>
      <c r="C757" s="6" t="s">
        <v>2058</v>
      </c>
      <c r="G757" s="5" t="s">
        <v>910</v>
      </c>
      <c r="H757" s="5" t="s">
        <v>910</v>
      </c>
      <c r="I757" s="1" t="s">
        <v>1694</v>
      </c>
      <c r="J757" s="1" t="s">
        <v>2059</v>
      </c>
      <c r="K757" s="5" t="str">
        <f>CONCATENATE(Table1[[#This Row],[Lead UKGI Contact Forename]],".",Table1[[#This Row],[Lead UKGI Contact Surname]],"@ukgi.org.uk")</f>
        <v>Simran.Dhillon@ukgi.org.uk</v>
      </c>
    </row>
    <row r="758" spans="1:11" hidden="1" x14ac:dyDescent="0.2">
      <c r="A758" s="1" t="s">
        <v>2060</v>
      </c>
      <c r="B758" s="1" t="s">
        <v>325</v>
      </c>
      <c r="C758" s="6" t="s">
        <v>2061</v>
      </c>
      <c r="G758" s="5" t="s">
        <v>910</v>
      </c>
      <c r="H758" s="5" t="s">
        <v>910</v>
      </c>
      <c r="I758" s="1" t="s">
        <v>1694</v>
      </c>
      <c r="J758" s="1" t="s">
        <v>2059</v>
      </c>
      <c r="K758" s="5" t="str">
        <f>CONCATENATE(Table1[[#This Row],[Lead UKGI Contact Forename]],".",Table1[[#This Row],[Lead UKGI Contact Surname]],"@ukgi.org.uk")</f>
        <v>Simran.Dhillon@ukgi.org.uk</v>
      </c>
    </row>
    <row r="759" spans="1:11" hidden="1" x14ac:dyDescent="0.2">
      <c r="A759" s="1" t="s">
        <v>2062</v>
      </c>
      <c r="B759" s="1" t="s">
        <v>545</v>
      </c>
      <c r="C759" s="6" t="s">
        <v>2063</v>
      </c>
      <c r="E759" s="5" t="s">
        <v>2064</v>
      </c>
      <c r="F759" s="5" t="s">
        <v>2065</v>
      </c>
      <c r="G759" s="5" t="s">
        <v>910</v>
      </c>
      <c r="H759" s="5" t="s">
        <v>910</v>
      </c>
      <c r="I759" s="1" t="s">
        <v>1694</v>
      </c>
      <c r="J759" s="1" t="s">
        <v>2059</v>
      </c>
      <c r="K759" s="5" t="str">
        <f>CONCATENATE(Table1[[#This Row],[Lead UKGI Contact Forename]],".",Table1[[#This Row],[Lead UKGI Contact Surname]],"@ukgi.org.uk")</f>
        <v>Simran.Dhillon@ukgi.org.uk</v>
      </c>
    </row>
    <row r="760" spans="1:11" hidden="1" x14ac:dyDescent="0.2">
      <c r="A760" s="1" t="s">
        <v>2066</v>
      </c>
      <c r="B760" s="1" t="s">
        <v>51</v>
      </c>
      <c r="C760" s="6" t="s">
        <v>2067</v>
      </c>
      <c r="G760" s="5" t="s">
        <v>910</v>
      </c>
      <c r="H760" s="5" t="s">
        <v>910</v>
      </c>
      <c r="I760" s="1" t="s">
        <v>1694</v>
      </c>
      <c r="J760" s="1" t="s">
        <v>2059</v>
      </c>
      <c r="K760" s="5" t="str">
        <f>CONCATENATE(Table1[[#This Row],[Lead UKGI Contact Forename]],".",Table1[[#This Row],[Lead UKGI Contact Surname]],"@ukgi.org.uk")</f>
        <v>Simran.Dhillon@ukgi.org.uk</v>
      </c>
    </row>
    <row r="761" spans="1:11" hidden="1" x14ac:dyDescent="0.2">
      <c r="A761" s="1" t="s">
        <v>2068</v>
      </c>
      <c r="B761" s="1" t="s">
        <v>2069</v>
      </c>
      <c r="C761" s="6" t="s">
        <v>2070</v>
      </c>
      <c r="G761" s="5" t="s">
        <v>910</v>
      </c>
      <c r="H761" s="5" t="s">
        <v>910</v>
      </c>
      <c r="I761" s="1" t="s">
        <v>1694</v>
      </c>
      <c r="J761" s="1" t="s">
        <v>2059</v>
      </c>
      <c r="K761" s="5" t="str">
        <f>CONCATENATE(Table1[[#This Row],[Lead UKGI Contact Forename]],".",Table1[[#This Row],[Lead UKGI Contact Surname]],"@ukgi.org.uk")</f>
        <v>Simran.Dhillon@ukgi.org.uk</v>
      </c>
    </row>
    <row r="762" spans="1:11" hidden="1" x14ac:dyDescent="0.2">
      <c r="A762" s="1" t="s">
        <v>2071</v>
      </c>
      <c r="B762" s="1" t="s">
        <v>646</v>
      </c>
      <c r="C762" s="6" t="s">
        <v>2072</v>
      </c>
      <c r="G762" s="5" t="s">
        <v>910</v>
      </c>
      <c r="H762" s="5" t="s">
        <v>910</v>
      </c>
      <c r="I762" s="1" t="s">
        <v>1694</v>
      </c>
      <c r="J762" s="1" t="s">
        <v>2059</v>
      </c>
      <c r="K762" s="5" t="str">
        <f>CONCATENATE(Table1[[#This Row],[Lead UKGI Contact Forename]],".",Table1[[#This Row],[Lead UKGI Contact Surname]],"@ukgi.org.uk")</f>
        <v>Simran.Dhillon@ukgi.org.uk</v>
      </c>
    </row>
    <row r="763" spans="1:11" hidden="1" x14ac:dyDescent="0.2">
      <c r="A763" s="1" t="s">
        <v>2073</v>
      </c>
      <c r="B763" s="1" t="s">
        <v>2074</v>
      </c>
      <c r="C763" s="6" t="s">
        <v>2075</v>
      </c>
      <c r="G763" s="5" t="s">
        <v>910</v>
      </c>
      <c r="H763" s="5" t="s">
        <v>910</v>
      </c>
      <c r="I763" s="1" t="s">
        <v>1694</v>
      </c>
      <c r="J763" s="1" t="s">
        <v>2059</v>
      </c>
      <c r="K763" s="5" t="str">
        <f>CONCATENATE(Table1[[#This Row],[Lead UKGI Contact Forename]],".",Table1[[#This Row],[Lead UKGI Contact Surname]],"@ukgi.org.uk")</f>
        <v>Simran.Dhillon@ukgi.org.uk</v>
      </c>
    </row>
    <row r="764" spans="1:11" ht="25.5" hidden="1" x14ac:dyDescent="0.2">
      <c r="A764" s="1" t="s">
        <v>2076</v>
      </c>
      <c r="B764" s="1" t="s">
        <v>387</v>
      </c>
      <c r="C764" s="6" t="s">
        <v>2077</v>
      </c>
      <c r="E764" s="5" t="s">
        <v>2078</v>
      </c>
      <c r="F764" s="5" t="s">
        <v>2079</v>
      </c>
      <c r="G764" s="5" t="s">
        <v>910</v>
      </c>
      <c r="H764" s="5" t="s">
        <v>910</v>
      </c>
      <c r="I764" s="1" t="s">
        <v>1694</v>
      </c>
      <c r="J764" s="1" t="s">
        <v>2059</v>
      </c>
      <c r="K764" s="5" t="str">
        <f>CONCATENATE(Table1[[#This Row],[Lead UKGI Contact Forename]],".",Table1[[#This Row],[Lead UKGI Contact Surname]],"@ukgi.org.uk")</f>
        <v>Simran.Dhillon@ukgi.org.uk</v>
      </c>
    </row>
    <row r="765" spans="1:11" hidden="1" x14ac:dyDescent="0.2">
      <c r="A765" s="1" t="s">
        <v>2080</v>
      </c>
      <c r="B765" s="1" t="s">
        <v>1289</v>
      </c>
      <c r="C765" s="6" t="s">
        <v>2081</v>
      </c>
      <c r="G765" s="5" t="s">
        <v>910</v>
      </c>
      <c r="H765" s="5" t="s">
        <v>910</v>
      </c>
      <c r="I765" s="1" t="s">
        <v>1694</v>
      </c>
      <c r="J765" s="1" t="s">
        <v>2059</v>
      </c>
      <c r="K765" s="5" t="str">
        <f>CONCATENATE(Table1[[#This Row],[Lead UKGI Contact Forename]],".",Table1[[#This Row],[Lead UKGI Contact Surname]],"@ukgi.org.uk")</f>
        <v>Simran.Dhillon@ukgi.org.uk</v>
      </c>
    </row>
    <row r="766" spans="1:11" hidden="1" x14ac:dyDescent="0.2">
      <c r="A766" s="1" t="s">
        <v>2082</v>
      </c>
      <c r="B766" s="1" t="s">
        <v>265</v>
      </c>
      <c r="C766" s="6" t="s">
        <v>2083</v>
      </c>
      <c r="E766" s="5" t="s">
        <v>1902</v>
      </c>
      <c r="F766" s="5" t="s">
        <v>2079</v>
      </c>
      <c r="G766" s="5" t="s">
        <v>910</v>
      </c>
      <c r="H766" s="5" t="s">
        <v>910</v>
      </c>
      <c r="I766" s="1" t="s">
        <v>1694</v>
      </c>
      <c r="J766" s="1" t="s">
        <v>2059</v>
      </c>
      <c r="K766" s="5" t="str">
        <f>CONCATENATE(Table1[[#This Row],[Lead UKGI Contact Forename]],".",Table1[[#This Row],[Lead UKGI Contact Surname]],"@ukgi.org.uk")</f>
        <v>Simran.Dhillon@ukgi.org.uk</v>
      </c>
    </row>
    <row r="767" spans="1:11" hidden="1" x14ac:dyDescent="0.2">
      <c r="A767" s="1" t="s">
        <v>2084</v>
      </c>
      <c r="B767" s="1" t="s">
        <v>135</v>
      </c>
      <c r="C767" s="6" t="s">
        <v>2085</v>
      </c>
      <c r="E767" s="5" t="s">
        <v>2086</v>
      </c>
      <c r="F767" s="5" t="s">
        <v>2079</v>
      </c>
      <c r="G767" s="5" t="s">
        <v>910</v>
      </c>
      <c r="H767" s="5" t="s">
        <v>910</v>
      </c>
      <c r="I767" s="1" t="s">
        <v>1694</v>
      </c>
      <c r="J767" s="1" t="s">
        <v>2059</v>
      </c>
      <c r="K767" s="5" t="str">
        <f>CONCATENATE(Table1[[#This Row],[Lead UKGI Contact Forename]],".",Table1[[#This Row],[Lead UKGI Contact Surname]],"@ukgi.org.uk")</f>
        <v>Simran.Dhillon@ukgi.org.uk</v>
      </c>
    </row>
    <row r="768" spans="1:11" hidden="1" x14ac:dyDescent="0.2">
      <c r="A768" s="1" t="s">
        <v>2087</v>
      </c>
      <c r="B768" s="1" t="s">
        <v>836</v>
      </c>
      <c r="C768" s="6" t="s">
        <v>2088</v>
      </c>
      <c r="G768" s="5" t="s">
        <v>910</v>
      </c>
      <c r="H768" s="5" t="s">
        <v>2089</v>
      </c>
      <c r="I768" s="1" t="s">
        <v>1694</v>
      </c>
      <c r="J768" s="1" t="s">
        <v>2059</v>
      </c>
      <c r="K768" s="5" t="str">
        <f>CONCATENATE(Table1[[#This Row],[Lead UKGI Contact Forename]],".",Table1[[#This Row],[Lead UKGI Contact Surname]],"@ukgi.org.uk")</f>
        <v>Simran.Dhillon@ukgi.org.uk</v>
      </c>
    </row>
    <row r="769" spans="1:11" hidden="1" x14ac:dyDescent="0.2">
      <c r="A769" s="1" t="s">
        <v>2090</v>
      </c>
      <c r="B769" s="1" t="s">
        <v>2091</v>
      </c>
      <c r="C769" s="6" t="s">
        <v>2092</v>
      </c>
      <c r="G769" s="5" t="s">
        <v>910</v>
      </c>
      <c r="H769" s="5" t="s">
        <v>2089</v>
      </c>
      <c r="I769" s="1" t="s">
        <v>1694</v>
      </c>
      <c r="J769" s="1" t="s">
        <v>2059</v>
      </c>
      <c r="K769" s="5" t="str">
        <f>CONCATENATE(Table1[[#This Row],[Lead UKGI Contact Forename]],".",Table1[[#This Row],[Lead UKGI Contact Surname]],"@ukgi.org.uk")</f>
        <v>Simran.Dhillon@ukgi.org.uk</v>
      </c>
    </row>
    <row r="770" spans="1:11" hidden="1" x14ac:dyDescent="0.2">
      <c r="A770" s="1" t="s">
        <v>2093</v>
      </c>
      <c r="B770" s="1" t="s">
        <v>798</v>
      </c>
      <c r="C770" s="6" t="s">
        <v>2094</v>
      </c>
      <c r="G770" s="5" t="s">
        <v>910</v>
      </c>
      <c r="H770" s="5" t="s">
        <v>2095</v>
      </c>
      <c r="I770" s="1" t="s">
        <v>1694</v>
      </c>
      <c r="J770" s="1" t="s">
        <v>2059</v>
      </c>
      <c r="K770" s="5" t="str">
        <f>CONCATENATE(Table1[[#This Row],[Lead UKGI Contact Forename]],".",Table1[[#This Row],[Lead UKGI Contact Surname]],"@ukgi.org.uk")</f>
        <v>Simran.Dhillon@ukgi.org.uk</v>
      </c>
    </row>
    <row r="771" spans="1:11" ht="25.5" hidden="1" x14ac:dyDescent="0.2">
      <c r="A771" s="1" t="s">
        <v>742</v>
      </c>
      <c r="B771" s="1" t="s">
        <v>310</v>
      </c>
      <c r="C771" s="6" t="s">
        <v>2096</v>
      </c>
      <c r="E771" s="5" t="s">
        <v>2097</v>
      </c>
      <c r="F771" s="5" t="s">
        <v>2098</v>
      </c>
      <c r="G771" s="5" t="s">
        <v>431</v>
      </c>
      <c r="H771" s="5" t="s">
        <v>431</v>
      </c>
      <c r="I771" s="1" t="s">
        <v>2099</v>
      </c>
      <c r="J771" s="1" t="s">
        <v>2100</v>
      </c>
      <c r="K771" s="5" t="str">
        <f>CONCATENATE(Table1[[#This Row],[Lead UKGI Contact Forename]],".",Table1[[#This Row],[Lead UKGI Contact Surname]],"@ukgi.org.uk")</f>
        <v>Gina.Mosquera@ukgi.org.uk</v>
      </c>
    </row>
    <row r="772" spans="1:11" hidden="1" x14ac:dyDescent="0.2">
      <c r="A772" s="1" t="s">
        <v>36</v>
      </c>
      <c r="B772" s="1" t="s">
        <v>2101</v>
      </c>
      <c r="C772" s="6" t="s">
        <v>2102</v>
      </c>
      <c r="E772" s="5" t="s">
        <v>2103</v>
      </c>
      <c r="F772" s="5" t="s">
        <v>2098</v>
      </c>
      <c r="G772" s="5" t="s">
        <v>431</v>
      </c>
      <c r="H772" s="5" t="s">
        <v>431</v>
      </c>
      <c r="I772" s="1" t="s">
        <v>2099</v>
      </c>
      <c r="J772" s="1" t="s">
        <v>2100</v>
      </c>
      <c r="K772" s="5" t="str">
        <f>CONCATENATE(Table1[[#This Row],[Lead UKGI Contact Forename]],".",Table1[[#This Row],[Lead UKGI Contact Surname]],"@ukgi.org.uk")</f>
        <v>Gina.Mosquera@ukgi.org.uk</v>
      </c>
    </row>
    <row r="773" spans="1:11" ht="25.5" hidden="1" x14ac:dyDescent="0.2">
      <c r="A773" s="1" t="s">
        <v>2071</v>
      </c>
      <c r="B773" s="1" t="s">
        <v>36</v>
      </c>
      <c r="C773" s="6" t="s">
        <v>2104</v>
      </c>
      <c r="E773" s="5" t="s">
        <v>2105</v>
      </c>
      <c r="G773" s="5" t="s">
        <v>431</v>
      </c>
      <c r="H773" s="5" t="s">
        <v>431</v>
      </c>
      <c r="I773" s="1" t="s">
        <v>2099</v>
      </c>
      <c r="J773" s="1" t="s">
        <v>2100</v>
      </c>
      <c r="K773" s="5" t="str">
        <f>CONCATENATE(Table1[[#This Row],[Lead UKGI Contact Forename]],".",Table1[[#This Row],[Lead UKGI Contact Surname]],"@ukgi.org.uk")</f>
        <v>Gina.Mosquera@ukgi.org.uk</v>
      </c>
    </row>
    <row r="774" spans="1:11" hidden="1" x14ac:dyDescent="0.2">
      <c r="A774" s="1" t="s">
        <v>2106</v>
      </c>
      <c r="B774" s="1" t="s">
        <v>2107</v>
      </c>
      <c r="C774" s="6" t="s">
        <v>2108</v>
      </c>
      <c r="G774" s="5" t="s">
        <v>431</v>
      </c>
      <c r="H774" s="5" t="s">
        <v>431</v>
      </c>
      <c r="I774" s="1" t="s">
        <v>2099</v>
      </c>
      <c r="J774" s="1" t="s">
        <v>2100</v>
      </c>
      <c r="K774" s="5" t="str">
        <f>CONCATENATE(Table1[[#This Row],[Lead UKGI Contact Forename]],".",Table1[[#This Row],[Lead UKGI Contact Surname]],"@ukgi.org.uk")</f>
        <v>Gina.Mosquera@ukgi.org.uk</v>
      </c>
    </row>
    <row r="775" spans="1:11" hidden="1" x14ac:dyDescent="0.2">
      <c r="A775" s="1" t="s">
        <v>2109</v>
      </c>
      <c r="B775" s="1" t="s">
        <v>2110</v>
      </c>
      <c r="C775" s="6" t="s">
        <v>2111</v>
      </c>
      <c r="G775" s="5" t="s">
        <v>431</v>
      </c>
      <c r="H775" s="5" t="s">
        <v>431</v>
      </c>
      <c r="I775" s="1" t="s">
        <v>2099</v>
      </c>
      <c r="J775" s="1" t="s">
        <v>2100</v>
      </c>
      <c r="K775" s="5" t="str">
        <f>CONCATENATE(Table1[[#This Row],[Lead UKGI Contact Forename]],".",Table1[[#This Row],[Lead UKGI Contact Surname]],"@ukgi.org.uk")</f>
        <v>Gina.Mosquera@ukgi.org.uk</v>
      </c>
    </row>
    <row r="776" spans="1:11" ht="25.5" hidden="1" x14ac:dyDescent="0.2">
      <c r="A776" s="1" t="s">
        <v>2073</v>
      </c>
      <c r="B776" s="1" t="s">
        <v>2112</v>
      </c>
      <c r="C776" s="6" t="s">
        <v>2113</v>
      </c>
      <c r="E776" s="5" t="s">
        <v>2114</v>
      </c>
      <c r="G776" s="5" t="s">
        <v>1617</v>
      </c>
      <c r="H776" s="5" t="s">
        <v>1617</v>
      </c>
      <c r="I776" s="1" t="s">
        <v>2033</v>
      </c>
      <c r="J776" s="1" t="s">
        <v>818</v>
      </c>
      <c r="K776" s="5" t="str">
        <f>CONCATENATE(Table1[[#This Row],[Lead UKGI Contact Forename]],".",Table1[[#This Row],[Lead UKGI Contact Surname]],"@ukgi.org.uk")</f>
        <v>Kris.Walters@ukgi.org.uk</v>
      </c>
    </row>
    <row r="777" spans="1:11" ht="25.5" hidden="1" x14ac:dyDescent="0.2">
      <c r="A777" s="1" t="s">
        <v>2115</v>
      </c>
      <c r="B777" s="1" t="s">
        <v>2116</v>
      </c>
      <c r="C777" s="6" t="s">
        <v>2117</v>
      </c>
      <c r="E777" s="5" t="s">
        <v>2114</v>
      </c>
      <c r="F777" s="5" t="s">
        <v>2118</v>
      </c>
      <c r="G777" s="5" t="s">
        <v>1617</v>
      </c>
      <c r="H777" s="5" t="s">
        <v>1617</v>
      </c>
      <c r="I777" s="1" t="s">
        <v>2033</v>
      </c>
      <c r="J777" s="1" t="s">
        <v>818</v>
      </c>
      <c r="K777" s="5" t="str">
        <f>CONCATENATE(Table1[[#This Row],[Lead UKGI Contact Forename]],".",Table1[[#This Row],[Lead UKGI Contact Surname]],"@ukgi.org.uk")</f>
        <v>Kris.Walters@ukgi.org.uk</v>
      </c>
    </row>
    <row r="778" spans="1:11" ht="25.5" hidden="1" x14ac:dyDescent="0.2">
      <c r="A778" s="1" t="s">
        <v>2003</v>
      </c>
      <c r="B778" s="1" t="s">
        <v>1142</v>
      </c>
      <c r="C778" s="6" t="s">
        <v>2119</v>
      </c>
      <c r="G778" s="5" t="s">
        <v>1617</v>
      </c>
      <c r="H778" s="5" t="s">
        <v>1617</v>
      </c>
      <c r="I778" s="1" t="s">
        <v>2033</v>
      </c>
      <c r="J778" s="1" t="s">
        <v>818</v>
      </c>
      <c r="K778" s="5" t="str">
        <f>CONCATENATE(Table1[[#This Row],[Lead UKGI Contact Forename]],".",Table1[[#This Row],[Lead UKGI Contact Surname]],"@ukgi.org.uk")</f>
        <v>Kris.Walters@ukgi.org.uk</v>
      </c>
    </row>
    <row r="779" spans="1:11" ht="25.5" hidden="1" x14ac:dyDescent="0.2">
      <c r="A779" s="1" t="s">
        <v>2120</v>
      </c>
      <c r="B779" s="1" t="s">
        <v>57</v>
      </c>
      <c r="C779" s="6" t="s">
        <v>2121</v>
      </c>
      <c r="G779" s="5" t="s">
        <v>1617</v>
      </c>
      <c r="H779" s="5" t="s">
        <v>1617</v>
      </c>
      <c r="I779" s="1" t="s">
        <v>2033</v>
      </c>
      <c r="J779" s="1" t="s">
        <v>818</v>
      </c>
      <c r="K779" s="5" t="str">
        <f>CONCATENATE(Table1[[#This Row],[Lead UKGI Contact Forename]],".",Table1[[#This Row],[Lead UKGI Contact Surname]],"@ukgi.org.uk")</f>
        <v>Kris.Walters@ukgi.org.uk</v>
      </c>
    </row>
    <row r="780" spans="1:11" ht="25.5" hidden="1" x14ac:dyDescent="0.2">
      <c r="A780" s="1" t="s">
        <v>43</v>
      </c>
      <c r="B780" s="1" t="s">
        <v>1523</v>
      </c>
      <c r="C780" s="6" t="s">
        <v>2122</v>
      </c>
      <c r="G780" s="5" t="s">
        <v>1617</v>
      </c>
      <c r="H780" s="5" t="s">
        <v>1617</v>
      </c>
      <c r="I780" s="1" t="s">
        <v>2033</v>
      </c>
      <c r="J780" s="1" t="s">
        <v>818</v>
      </c>
      <c r="K780" s="5" t="str">
        <f>CONCATENATE(Table1[[#This Row],[Lead UKGI Contact Forename]],".",Table1[[#This Row],[Lead UKGI Contact Surname]],"@ukgi.org.uk")</f>
        <v>Kris.Walters@ukgi.org.uk</v>
      </c>
    </row>
    <row r="781" spans="1:11" ht="25.5" hidden="1" x14ac:dyDescent="0.2">
      <c r="A781" s="1" t="s">
        <v>2123</v>
      </c>
      <c r="B781" s="1" t="s">
        <v>2124</v>
      </c>
      <c r="C781" s="6" t="s">
        <v>2125</v>
      </c>
      <c r="E781" s="5" t="s">
        <v>2114</v>
      </c>
      <c r="F781" s="5" t="s">
        <v>2126</v>
      </c>
      <c r="G781" s="5" t="s">
        <v>1617</v>
      </c>
      <c r="H781" s="5" t="s">
        <v>1617</v>
      </c>
      <c r="I781" s="1" t="s">
        <v>2033</v>
      </c>
      <c r="J781" s="1" t="s">
        <v>818</v>
      </c>
      <c r="K781" s="5" t="str">
        <f>CONCATENATE(Table1[[#This Row],[Lead UKGI Contact Forename]],".",Table1[[#This Row],[Lead UKGI Contact Surname]],"@ukgi.org.uk")</f>
        <v>Kris.Walters@ukgi.org.uk</v>
      </c>
    </row>
    <row r="782" spans="1:11" ht="25.5" hidden="1" x14ac:dyDescent="0.2">
      <c r="A782" s="1" t="s">
        <v>2127</v>
      </c>
      <c r="B782" s="1" t="s">
        <v>2128</v>
      </c>
      <c r="C782" s="6" t="s">
        <v>2129</v>
      </c>
      <c r="E782" s="5" t="s">
        <v>2130</v>
      </c>
      <c r="G782" s="5" t="s">
        <v>1617</v>
      </c>
      <c r="H782" s="5" t="s">
        <v>1617</v>
      </c>
      <c r="I782" s="1" t="s">
        <v>2033</v>
      </c>
      <c r="J782" s="1" t="s">
        <v>818</v>
      </c>
      <c r="K782" s="5" t="str">
        <f>CONCATENATE(Table1[[#This Row],[Lead UKGI Contact Forename]],".",Table1[[#This Row],[Lead UKGI Contact Surname]],"@ukgi.org.uk")</f>
        <v>Kris.Walters@ukgi.org.uk</v>
      </c>
    </row>
    <row r="783" spans="1:11" ht="25.5" hidden="1" x14ac:dyDescent="0.2">
      <c r="A783" s="1" t="s">
        <v>2131</v>
      </c>
      <c r="B783" s="1" t="s">
        <v>2132</v>
      </c>
      <c r="C783" s="6" t="s">
        <v>2133</v>
      </c>
      <c r="G783" s="5" t="s">
        <v>1617</v>
      </c>
      <c r="H783" s="5" t="s">
        <v>1617</v>
      </c>
      <c r="I783" s="1" t="s">
        <v>2033</v>
      </c>
      <c r="J783" s="1" t="s">
        <v>818</v>
      </c>
      <c r="K783" s="5" t="str">
        <f>CONCATENATE(Table1[[#This Row],[Lead UKGI Contact Forename]],".",Table1[[#This Row],[Lead UKGI Contact Surname]],"@ukgi.org.uk")</f>
        <v>Kris.Walters@ukgi.org.uk</v>
      </c>
    </row>
    <row r="784" spans="1:11" ht="25.5" hidden="1" x14ac:dyDescent="0.2">
      <c r="A784" s="1" t="s">
        <v>2134</v>
      </c>
      <c r="B784" s="1" t="s">
        <v>2135</v>
      </c>
      <c r="C784" s="6" t="s">
        <v>2136</v>
      </c>
      <c r="F784" s="5" t="s">
        <v>2126</v>
      </c>
      <c r="G784" s="5" t="s">
        <v>1617</v>
      </c>
      <c r="H784" s="5" t="s">
        <v>1617</v>
      </c>
      <c r="I784" s="1" t="s">
        <v>2033</v>
      </c>
      <c r="J784" s="1" t="s">
        <v>818</v>
      </c>
      <c r="K784" s="5" t="str">
        <f>CONCATENATE(Table1[[#This Row],[Lead UKGI Contact Forename]],".",Table1[[#This Row],[Lead UKGI Contact Surname]],"@ukgi.org.uk")</f>
        <v>Kris.Walters@ukgi.org.uk</v>
      </c>
    </row>
    <row r="785" spans="1:11" ht="25.5" hidden="1" x14ac:dyDescent="0.2">
      <c r="A785" s="1" t="s">
        <v>2137</v>
      </c>
      <c r="B785" s="1" t="s">
        <v>2074</v>
      </c>
      <c r="C785" s="6" t="s">
        <v>2138</v>
      </c>
      <c r="E785" s="5" t="s">
        <v>1991</v>
      </c>
      <c r="G785" s="5" t="s">
        <v>2139</v>
      </c>
      <c r="H785" s="5" t="s">
        <v>2139</v>
      </c>
      <c r="I785" s="1" t="s">
        <v>1464</v>
      </c>
      <c r="J785" s="1" t="s">
        <v>1322</v>
      </c>
      <c r="K785" s="5" t="str">
        <f>CONCATENATE(Table1[[#This Row],[Lead UKGI Contact Forename]],".",Table1[[#This Row],[Lead UKGI Contact Surname]],"@ukgi.org.uk")</f>
        <v>Ed.Quinn@ukgi.org.uk</v>
      </c>
    </row>
    <row r="786" spans="1:11" ht="25.5" hidden="1" x14ac:dyDescent="0.2">
      <c r="A786" s="1" t="s">
        <v>2001</v>
      </c>
      <c r="B786" s="1" t="s">
        <v>2140</v>
      </c>
      <c r="C786" s="6" t="s">
        <v>2141</v>
      </c>
      <c r="E786" s="5" t="s">
        <v>2142</v>
      </c>
      <c r="G786" s="5" t="s">
        <v>2139</v>
      </c>
      <c r="H786" s="5" t="s">
        <v>2139</v>
      </c>
      <c r="I786" s="1" t="s">
        <v>1464</v>
      </c>
      <c r="J786" s="1" t="s">
        <v>1322</v>
      </c>
      <c r="K786" s="5" t="str">
        <f>CONCATENATE(Table1[[#This Row],[Lead UKGI Contact Forename]],".",Table1[[#This Row],[Lead UKGI Contact Surname]],"@ukgi.org.uk")</f>
        <v>Ed.Quinn@ukgi.org.uk</v>
      </c>
    </row>
    <row r="787" spans="1:11" ht="25.5" hidden="1" x14ac:dyDescent="0.2">
      <c r="A787" s="1" t="s">
        <v>2143</v>
      </c>
      <c r="B787" s="1" t="s">
        <v>1507</v>
      </c>
      <c r="C787" s="6" t="s">
        <v>2144</v>
      </c>
      <c r="G787" s="5" t="s">
        <v>2139</v>
      </c>
      <c r="H787" s="5" t="s">
        <v>2139</v>
      </c>
      <c r="I787" s="1" t="s">
        <v>1464</v>
      </c>
      <c r="J787" s="1" t="s">
        <v>1322</v>
      </c>
      <c r="K787" s="5" t="str">
        <f>CONCATENATE(Table1[[#This Row],[Lead UKGI Contact Forename]],".",Table1[[#This Row],[Lead UKGI Contact Surname]],"@ukgi.org.uk")</f>
        <v>Ed.Quinn@ukgi.org.uk</v>
      </c>
    </row>
    <row r="788" spans="1:11" ht="25.5" hidden="1" x14ac:dyDescent="0.2">
      <c r="A788" s="1" t="s">
        <v>2145</v>
      </c>
      <c r="B788" s="1" t="s">
        <v>103</v>
      </c>
      <c r="C788" s="6" t="s">
        <v>2146</v>
      </c>
      <c r="G788" s="5" t="s">
        <v>2139</v>
      </c>
      <c r="H788" s="5" t="s">
        <v>2139</v>
      </c>
      <c r="I788" s="1" t="s">
        <v>1464</v>
      </c>
      <c r="J788" s="1" t="s">
        <v>1322</v>
      </c>
      <c r="K788" s="5" t="str">
        <f>CONCATENATE(Table1[[#This Row],[Lead UKGI Contact Forename]],".",Table1[[#This Row],[Lead UKGI Contact Surname]],"@ukgi.org.uk")</f>
        <v>Ed.Quinn@ukgi.org.uk</v>
      </c>
    </row>
    <row r="789" spans="1:11" ht="25.5" hidden="1" x14ac:dyDescent="0.2">
      <c r="A789" s="1" t="s">
        <v>2147</v>
      </c>
      <c r="B789" s="1" t="s">
        <v>2148</v>
      </c>
      <c r="C789" s="6" t="s">
        <v>2149</v>
      </c>
      <c r="G789" s="5" t="s">
        <v>2139</v>
      </c>
      <c r="H789" s="5" t="s">
        <v>2139</v>
      </c>
      <c r="I789" s="1" t="s">
        <v>1464</v>
      </c>
      <c r="J789" s="1" t="s">
        <v>1322</v>
      </c>
      <c r="K789" s="5" t="str">
        <f>CONCATENATE(Table1[[#This Row],[Lead UKGI Contact Forename]],".",Table1[[#This Row],[Lead UKGI Contact Surname]],"@ukgi.org.uk")</f>
        <v>Ed.Quinn@ukgi.org.uk</v>
      </c>
    </row>
    <row r="790" spans="1:11" ht="25.5" hidden="1" x14ac:dyDescent="0.2">
      <c r="A790" s="1" t="s">
        <v>2150</v>
      </c>
      <c r="B790" s="1" t="s">
        <v>2151</v>
      </c>
      <c r="C790" s="6" t="s">
        <v>2152</v>
      </c>
      <c r="E790" s="5" t="s">
        <v>2153</v>
      </c>
      <c r="G790" s="5" t="s">
        <v>2139</v>
      </c>
      <c r="H790" s="5" t="s">
        <v>2139</v>
      </c>
      <c r="I790" s="1" t="s">
        <v>1464</v>
      </c>
      <c r="J790" s="1" t="s">
        <v>1322</v>
      </c>
      <c r="K790" s="5" t="str">
        <f>CONCATENATE(Table1[[#This Row],[Lead UKGI Contact Forename]],".",Table1[[#This Row],[Lead UKGI Contact Surname]],"@ukgi.org.uk")</f>
        <v>Ed.Quinn@ukgi.org.uk</v>
      </c>
    </row>
    <row r="791" spans="1:11" ht="25.5" hidden="1" x14ac:dyDescent="0.2">
      <c r="A791" s="1" t="s">
        <v>293</v>
      </c>
      <c r="B791" s="1" t="s">
        <v>860</v>
      </c>
      <c r="C791" s="6" t="s">
        <v>2154</v>
      </c>
      <c r="F791" s="5" t="s">
        <v>2155</v>
      </c>
      <c r="G791" s="5" t="s">
        <v>187</v>
      </c>
      <c r="H791" s="5" t="s">
        <v>187</v>
      </c>
      <c r="I791" s="1" t="s">
        <v>2156</v>
      </c>
      <c r="J791" s="1" t="s">
        <v>2157</v>
      </c>
      <c r="K791" s="5" t="str">
        <f>CONCATENATE(Table1[[#This Row],[Lead UKGI Contact Forename]],".",Table1[[#This Row],[Lead UKGI Contact Surname]],"@ukgi.org.uk")</f>
        <v>Francesco.Pellegrini@ukgi.org.uk</v>
      </c>
    </row>
    <row r="792" spans="1:11" ht="25.5" hidden="1" x14ac:dyDescent="0.2">
      <c r="A792" s="1" t="s">
        <v>2158</v>
      </c>
      <c r="B792" s="1" t="s">
        <v>135</v>
      </c>
      <c r="C792" s="6" t="s">
        <v>2159</v>
      </c>
      <c r="E792" s="5" t="s">
        <v>2160</v>
      </c>
      <c r="F792" s="5" t="s">
        <v>2155</v>
      </c>
      <c r="G792" s="5" t="s">
        <v>187</v>
      </c>
      <c r="H792" s="5" t="s">
        <v>187</v>
      </c>
      <c r="I792" s="1" t="s">
        <v>2156</v>
      </c>
      <c r="J792" s="1" t="s">
        <v>2157</v>
      </c>
      <c r="K792" s="5" t="str">
        <f>CONCATENATE(Table1[[#This Row],[Lead UKGI Contact Forename]],".",Table1[[#This Row],[Lead UKGI Contact Surname]],"@ukgi.org.uk")</f>
        <v>Francesco.Pellegrini@ukgi.org.uk</v>
      </c>
    </row>
    <row r="793" spans="1:11" ht="25.5" hidden="1" x14ac:dyDescent="0.2">
      <c r="A793" s="1" t="s">
        <v>2161</v>
      </c>
      <c r="B793" s="1" t="s">
        <v>1736</v>
      </c>
      <c r="C793" s="6" t="s">
        <v>2162</v>
      </c>
      <c r="F793" s="5" t="s">
        <v>2155</v>
      </c>
      <c r="G793" s="5" t="s">
        <v>187</v>
      </c>
      <c r="H793" s="5" t="s">
        <v>187</v>
      </c>
      <c r="I793" s="1" t="s">
        <v>2156</v>
      </c>
      <c r="J793" s="1" t="s">
        <v>2157</v>
      </c>
      <c r="K793" s="5" t="str">
        <f>CONCATENATE(Table1[[#This Row],[Lead UKGI Contact Forename]],".",Table1[[#This Row],[Lead UKGI Contact Surname]],"@ukgi.org.uk")</f>
        <v>Francesco.Pellegrini@ukgi.org.uk</v>
      </c>
    </row>
    <row r="794" spans="1:11" ht="25.5" hidden="1" x14ac:dyDescent="0.2">
      <c r="A794" s="1" t="s">
        <v>2163</v>
      </c>
      <c r="B794" s="1" t="s">
        <v>2164</v>
      </c>
      <c r="C794" s="6" t="s">
        <v>2165</v>
      </c>
      <c r="F794" s="5" t="s">
        <v>2155</v>
      </c>
      <c r="G794" s="5" t="s">
        <v>187</v>
      </c>
      <c r="H794" s="5" t="s">
        <v>187</v>
      </c>
      <c r="I794" s="1" t="s">
        <v>2156</v>
      </c>
      <c r="J794" s="1" t="s">
        <v>2157</v>
      </c>
      <c r="K794" s="5" t="str">
        <f>CONCATENATE(Table1[[#This Row],[Lead UKGI Contact Forename]],".",Table1[[#This Row],[Lead UKGI Contact Surname]],"@ukgi.org.uk")</f>
        <v>Francesco.Pellegrini@ukgi.org.uk</v>
      </c>
    </row>
    <row r="795" spans="1:11" ht="25.5" hidden="1" x14ac:dyDescent="0.2">
      <c r="A795" s="1" t="s">
        <v>2166</v>
      </c>
      <c r="B795" s="1" t="s">
        <v>98</v>
      </c>
      <c r="C795" s="6" t="s">
        <v>2167</v>
      </c>
      <c r="F795" s="5" t="s">
        <v>2155</v>
      </c>
      <c r="G795" s="5" t="s">
        <v>187</v>
      </c>
      <c r="H795" s="5" t="s">
        <v>187</v>
      </c>
      <c r="I795" s="1" t="s">
        <v>2156</v>
      </c>
      <c r="J795" s="1" t="s">
        <v>2157</v>
      </c>
      <c r="K795" s="5" t="str">
        <f>CONCATENATE(Table1[[#This Row],[Lead UKGI Contact Forename]],".",Table1[[#This Row],[Lead UKGI Contact Surname]],"@ukgi.org.uk")</f>
        <v>Francesco.Pellegrini@ukgi.org.uk</v>
      </c>
    </row>
    <row r="796" spans="1:11" ht="25.5" x14ac:dyDescent="0.2">
      <c r="A796" s="1" t="s">
        <v>2168</v>
      </c>
      <c r="B796" s="1" t="s">
        <v>98</v>
      </c>
      <c r="C796" s="6" t="s">
        <v>2169</v>
      </c>
      <c r="G796" s="5" t="s">
        <v>157</v>
      </c>
      <c r="H796" s="5" t="s">
        <v>157</v>
      </c>
      <c r="I796" s="1" t="s">
        <v>2170</v>
      </c>
      <c r="J796" s="1" t="s">
        <v>2171</v>
      </c>
      <c r="K796" s="1" t="str">
        <f>CONCATENATE(Table1[[#This Row],[Lead UKGI Contact Forename]],".",Table1[[#This Row],[Lead UKGI Contact Surname]],"@ukgi.org.uk")</f>
        <v>Chun.Lau@ukgi.org.uk</v>
      </c>
    </row>
    <row r="797" spans="1:11" ht="25.5" x14ac:dyDescent="0.2">
      <c r="A797" s="1" t="s">
        <v>2172</v>
      </c>
      <c r="B797" s="1" t="s">
        <v>877</v>
      </c>
      <c r="C797" s="6" t="s">
        <v>2173</v>
      </c>
      <c r="G797" s="5" t="s">
        <v>157</v>
      </c>
      <c r="H797" s="5" t="s">
        <v>157</v>
      </c>
      <c r="I797" s="1" t="s">
        <v>2170</v>
      </c>
      <c r="J797" s="1" t="s">
        <v>2171</v>
      </c>
      <c r="K797" s="1" t="str">
        <f>CONCATENATE(Table1[[#This Row],[Lead UKGI Contact Forename]],".",Table1[[#This Row],[Lead UKGI Contact Surname]],"@ukgi.org.uk")</f>
        <v>Chun.Lau@ukgi.org.uk</v>
      </c>
    </row>
    <row r="798" spans="1:11" ht="25.5" x14ac:dyDescent="0.2">
      <c r="A798" s="1" t="s">
        <v>2174</v>
      </c>
      <c r="B798" s="1" t="s">
        <v>959</v>
      </c>
      <c r="C798" s="6" t="s">
        <v>2175</v>
      </c>
      <c r="G798" s="5" t="s">
        <v>157</v>
      </c>
      <c r="H798" s="5" t="s">
        <v>157</v>
      </c>
      <c r="I798" s="1" t="s">
        <v>2170</v>
      </c>
      <c r="J798" s="1" t="s">
        <v>2171</v>
      </c>
      <c r="K798" s="1" t="str">
        <f>CONCATENATE(Table1[[#This Row],[Lead UKGI Contact Forename]],".",Table1[[#This Row],[Lead UKGI Contact Surname]],"@ukgi.org.uk")</f>
        <v>Chun.Lau@ukgi.org.uk</v>
      </c>
    </row>
    <row r="799" spans="1:11" ht="25.5" x14ac:dyDescent="0.2">
      <c r="A799" s="1" t="s">
        <v>2176</v>
      </c>
      <c r="B799" s="1" t="s">
        <v>2177</v>
      </c>
      <c r="C799" s="6" t="s">
        <v>2178</v>
      </c>
      <c r="G799" s="5" t="s">
        <v>157</v>
      </c>
      <c r="H799" s="5" t="s">
        <v>157</v>
      </c>
      <c r="I799" s="1" t="s">
        <v>2170</v>
      </c>
      <c r="J799" s="1" t="s">
        <v>2171</v>
      </c>
      <c r="K799" s="1" t="str">
        <f>CONCATENATE(Table1[[#This Row],[Lead UKGI Contact Forename]],".",Table1[[#This Row],[Lead UKGI Contact Surname]],"@ukgi.org.uk")</f>
        <v>Chun.Lau@ukgi.org.uk</v>
      </c>
    </row>
    <row r="800" spans="1:11" ht="25.5" x14ac:dyDescent="0.2">
      <c r="A800" s="1" t="s">
        <v>2179</v>
      </c>
      <c r="B800" s="1" t="s">
        <v>1296</v>
      </c>
      <c r="C800" s="6" t="s">
        <v>2180</v>
      </c>
      <c r="G800" s="5" t="s">
        <v>157</v>
      </c>
      <c r="H800" s="5" t="s">
        <v>157</v>
      </c>
      <c r="I800" s="1" t="s">
        <v>2170</v>
      </c>
      <c r="J800" s="1" t="s">
        <v>2171</v>
      </c>
      <c r="K800" s="1" t="str">
        <f>CONCATENATE(Table1[[#This Row],[Lead UKGI Contact Forename]],".",Table1[[#This Row],[Lead UKGI Contact Surname]],"@ukgi.org.uk")</f>
        <v>Chun.Lau@ukgi.org.uk</v>
      </c>
    </row>
    <row r="801" spans="1:11" ht="25.5" x14ac:dyDescent="0.2">
      <c r="A801" s="1" t="s">
        <v>970</v>
      </c>
      <c r="B801" s="1" t="s">
        <v>1825</v>
      </c>
      <c r="C801" s="6" t="s">
        <v>2181</v>
      </c>
      <c r="G801" s="5" t="s">
        <v>157</v>
      </c>
      <c r="H801" s="5" t="s">
        <v>157</v>
      </c>
      <c r="I801" s="1" t="s">
        <v>2170</v>
      </c>
      <c r="J801" s="1" t="s">
        <v>2171</v>
      </c>
      <c r="K801" s="1" t="str">
        <f>CONCATENATE(Table1[[#This Row],[Lead UKGI Contact Forename]],".",Table1[[#This Row],[Lead UKGI Contact Surname]],"@ukgi.org.uk")</f>
        <v>Chun.Lau@ukgi.org.uk</v>
      </c>
    </row>
    <row r="802" spans="1:11" ht="25.5" x14ac:dyDescent="0.2">
      <c r="A802" s="1" t="s">
        <v>2182</v>
      </c>
      <c r="B802" s="1" t="s">
        <v>1253</v>
      </c>
      <c r="C802" s="6" t="s">
        <v>2183</v>
      </c>
      <c r="E802" s="5" t="s">
        <v>2184</v>
      </c>
      <c r="F802" s="5" t="s">
        <v>2185</v>
      </c>
      <c r="G802" s="5" t="s">
        <v>157</v>
      </c>
      <c r="H802" s="5" t="s">
        <v>2186</v>
      </c>
      <c r="I802" s="1" t="s">
        <v>2170</v>
      </c>
      <c r="J802" s="1" t="s">
        <v>2171</v>
      </c>
      <c r="K802" s="1" t="str">
        <f>CONCATENATE(Table1[[#This Row],[Lead UKGI Contact Forename]],".",Table1[[#This Row],[Lead UKGI Contact Surname]],"@ukgi.org.uk")</f>
        <v>Chun.Lau@ukgi.org.uk</v>
      </c>
    </row>
    <row r="803" spans="1:11" ht="25.5" x14ac:dyDescent="0.2">
      <c r="A803" s="1" t="s">
        <v>2187</v>
      </c>
      <c r="B803" s="1" t="s">
        <v>377</v>
      </c>
      <c r="C803" s="6" t="s">
        <v>2188</v>
      </c>
      <c r="E803" s="5" t="s">
        <v>1154</v>
      </c>
      <c r="G803" s="5" t="s">
        <v>157</v>
      </c>
      <c r="H803" s="5" t="s">
        <v>2186</v>
      </c>
      <c r="I803" s="1" t="s">
        <v>2170</v>
      </c>
      <c r="J803" s="1" t="s">
        <v>2171</v>
      </c>
      <c r="K803" s="1" t="str">
        <f>CONCATENATE(Table1[[#This Row],[Lead UKGI Contact Forename]],".",Table1[[#This Row],[Lead UKGI Contact Surname]],"@ukgi.org.uk")</f>
        <v>Chun.Lau@ukgi.org.uk</v>
      </c>
    </row>
    <row r="804" spans="1:11" ht="25.5" x14ac:dyDescent="0.2">
      <c r="A804" s="1" t="s">
        <v>452</v>
      </c>
      <c r="B804" s="1" t="s">
        <v>147</v>
      </c>
      <c r="C804" s="6" t="s">
        <v>2189</v>
      </c>
      <c r="G804" s="5" t="s">
        <v>157</v>
      </c>
      <c r="H804" s="5" t="s">
        <v>2186</v>
      </c>
      <c r="I804" s="1" t="s">
        <v>2170</v>
      </c>
      <c r="J804" s="1" t="s">
        <v>2171</v>
      </c>
      <c r="K804" s="1" t="str">
        <f>CONCATENATE(Table1[[#This Row],[Lead UKGI Contact Forename]],".",Table1[[#This Row],[Lead UKGI Contact Surname]],"@ukgi.org.uk")</f>
        <v>Chun.Lau@ukgi.org.uk</v>
      </c>
    </row>
    <row r="805" spans="1:11" ht="25.5" x14ac:dyDescent="0.2">
      <c r="A805" s="1" t="s">
        <v>2190</v>
      </c>
      <c r="B805" s="1" t="s">
        <v>343</v>
      </c>
      <c r="C805" s="6" t="s">
        <v>2191</v>
      </c>
      <c r="G805" s="5" t="s">
        <v>157</v>
      </c>
      <c r="H805" s="5" t="s">
        <v>157</v>
      </c>
      <c r="I805" s="1" t="s">
        <v>2170</v>
      </c>
      <c r="J805" s="1" t="s">
        <v>2171</v>
      </c>
      <c r="K805" s="1" t="str">
        <f>CONCATENATE(Table1[[#This Row],[Lead UKGI Contact Forename]],".",Table1[[#This Row],[Lead UKGI Contact Surname]],"@ukgi.org.uk")</f>
        <v>Chun.Lau@ukgi.org.uk</v>
      </c>
    </row>
    <row r="806" spans="1:11" ht="38.25" x14ac:dyDescent="0.2">
      <c r="A806" s="1" t="s">
        <v>2192</v>
      </c>
      <c r="B806" s="1" t="s">
        <v>1184</v>
      </c>
      <c r="C806" s="6" t="s">
        <v>2193</v>
      </c>
      <c r="G806" s="5" t="s">
        <v>2194</v>
      </c>
      <c r="H806" s="5" t="s">
        <v>1292</v>
      </c>
      <c r="I806" s="1" t="s">
        <v>735</v>
      </c>
      <c r="J806" s="1" t="s">
        <v>2195</v>
      </c>
      <c r="K806" s="1" t="str">
        <f>CONCATENATE(Table1[[#This Row],[Lead UKGI Contact Forename]],".",Table1[[#This Row],[Lead UKGI Contact Surname]],"@ukgi.org.uk")</f>
        <v>Anju.Jacob@ukgi.org.uk</v>
      </c>
    </row>
    <row r="807" spans="1:11" ht="25.5" x14ac:dyDescent="0.2">
      <c r="A807" s="1" t="s">
        <v>1260</v>
      </c>
      <c r="B807" s="1" t="s">
        <v>875</v>
      </c>
      <c r="C807" s="6" t="s">
        <v>2196</v>
      </c>
      <c r="E807" s="5" t="s">
        <v>2197</v>
      </c>
      <c r="G807" s="5" t="s">
        <v>240</v>
      </c>
      <c r="H807" s="5" t="s">
        <v>240</v>
      </c>
      <c r="I807" s="1" t="s">
        <v>2198</v>
      </c>
      <c r="J807" s="1" t="s">
        <v>343</v>
      </c>
      <c r="K807" s="1" t="str">
        <f>CONCATENATE(Table1[[#This Row],[Lead UKGI Contact Forename]],".",Table1[[#This Row],[Lead UKGI Contact Surname]],"@ukgi.org.uk")</f>
        <v>Robert.Carlsson@ukgi.org.uk</v>
      </c>
    </row>
    <row r="808" spans="1:11" ht="25.5" x14ac:dyDescent="0.2">
      <c r="A808" s="1" t="s">
        <v>2199</v>
      </c>
      <c r="B808" s="1" t="s">
        <v>2200</v>
      </c>
      <c r="C808" s="6" t="s">
        <v>2201</v>
      </c>
      <c r="G808" s="5" t="s">
        <v>240</v>
      </c>
      <c r="H808" s="5" t="s">
        <v>240</v>
      </c>
      <c r="I808" s="1" t="s">
        <v>2198</v>
      </c>
      <c r="J808" s="1" t="s">
        <v>343</v>
      </c>
      <c r="K808" s="1" t="str">
        <f>CONCATENATE(Table1[[#This Row],[Lead UKGI Contact Forename]],".",Table1[[#This Row],[Lead UKGI Contact Surname]],"@ukgi.org.uk")</f>
        <v>Robert.Carlsson@ukgi.org.uk</v>
      </c>
    </row>
    <row r="809" spans="1:11" ht="25.5" x14ac:dyDescent="0.2">
      <c r="A809" s="1" t="s">
        <v>2202</v>
      </c>
      <c r="B809" s="1" t="s">
        <v>142</v>
      </c>
      <c r="C809" s="6" t="s">
        <v>2203</v>
      </c>
      <c r="E809" s="5" t="s">
        <v>2204</v>
      </c>
      <c r="F809" s="5" t="s">
        <v>2205</v>
      </c>
      <c r="G809" s="5" t="s">
        <v>240</v>
      </c>
      <c r="H809" s="5" t="s">
        <v>240</v>
      </c>
      <c r="I809" s="1" t="s">
        <v>2198</v>
      </c>
      <c r="J809" s="1" t="s">
        <v>343</v>
      </c>
      <c r="K809" s="1" t="str">
        <f>CONCATENATE(Table1[[#This Row],[Lead UKGI Contact Forename]],".",Table1[[#This Row],[Lead UKGI Contact Surname]],"@ukgi.org.uk")</f>
        <v>Robert.Carlsson@ukgi.org.uk</v>
      </c>
    </row>
    <row r="810" spans="1:11" ht="25.5" x14ac:dyDescent="0.2">
      <c r="A810" s="1" t="s">
        <v>2206</v>
      </c>
      <c r="B810" s="1" t="s">
        <v>382</v>
      </c>
      <c r="C810" s="6" t="s">
        <v>2207</v>
      </c>
      <c r="G810" s="5" t="s">
        <v>240</v>
      </c>
      <c r="H810" s="5" t="s">
        <v>240</v>
      </c>
      <c r="I810" s="1" t="s">
        <v>2198</v>
      </c>
      <c r="J810" s="1" t="s">
        <v>343</v>
      </c>
      <c r="K810" s="1" t="str">
        <f>CONCATENATE(Table1[[#This Row],[Lead UKGI Contact Forename]],".",Table1[[#This Row],[Lead UKGI Contact Surname]],"@ukgi.org.uk")</f>
        <v>Robert.Carlsson@ukgi.org.uk</v>
      </c>
    </row>
    <row r="811" spans="1:11" ht="25.5" x14ac:dyDescent="0.2">
      <c r="A811" s="1" t="s">
        <v>2208</v>
      </c>
      <c r="B811" s="1" t="s">
        <v>152</v>
      </c>
      <c r="C811" s="6" t="s">
        <v>2209</v>
      </c>
      <c r="G811" s="5" t="s">
        <v>240</v>
      </c>
      <c r="H811" s="5" t="s">
        <v>240</v>
      </c>
      <c r="I811" s="1" t="s">
        <v>2198</v>
      </c>
      <c r="J811" s="1" t="s">
        <v>343</v>
      </c>
      <c r="K811" s="1" t="str">
        <f>CONCATENATE(Table1[[#This Row],[Lead UKGI Contact Forename]],".",Table1[[#This Row],[Lead UKGI Contact Surname]],"@ukgi.org.uk")</f>
        <v>Robert.Carlsson@ukgi.org.uk</v>
      </c>
    </row>
    <row r="812" spans="1:11" ht="25.5" x14ac:dyDescent="0.2">
      <c r="A812" s="1" t="s">
        <v>2210</v>
      </c>
      <c r="B812" s="1" t="s">
        <v>2211</v>
      </c>
      <c r="C812" s="6" t="s">
        <v>2212</v>
      </c>
      <c r="E812" s="5" t="s">
        <v>2048</v>
      </c>
      <c r="G812" s="5" t="s">
        <v>240</v>
      </c>
      <c r="H812" s="5" t="s">
        <v>240</v>
      </c>
      <c r="I812" s="1" t="s">
        <v>2198</v>
      </c>
      <c r="J812" s="1" t="s">
        <v>343</v>
      </c>
      <c r="K812" s="1" t="str">
        <f>CONCATENATE(Table1[[#This Row],[Lead UKGI Contact Forename]],".",Table1[[#This Row],[Lead UKGI Contact Surname]],"@ukgi.org.uk")</f>
        <v>Robert.Carlsson@ukgi.org.uk</v>
      </c>
    </row>
    <row r="813" spans="1:11" ht="25.5" x14ac:dyDescent="0.2">
      <c r="A813" s="1" t="s">
        <v>2213</v>
      </c>
      <c r="B813" s="1" t="s">
        <v>2214</v>
      </c>
      <c r="C813" s="6" t="s">
        <v>2215</v>
      </c>
      <c r="G813" s="5" t="s">
        <v>240</v>
      </c>
      <c r="H813" s="5" t="s">
        <v>240</v>
      </c>
      <c r="I813" s="1" t="s">
        <v>2198</v>
      </c>
      <c r="J813" s="1" t="s">
        <v>343</v>
      </c>
      <c r="K813" s="1" t="str">
        <f>CONCATENATE(Table1[[#This Row],[Lead UKGI Contact Forename]],".",Table1[[#This Row],[Lead UKGI Contact Surname]],"@ukgi.org.uk")</f>
        <v>Robert.Carlsson@ukgi.org.uk</v>
      </c>
    </row>
    <row r="814" spans="1:11" ht="25.5" x14ac:dyDescent="0.2">
      <c r="A814" s="1" t="s">
        <v>139</v>
      </c>
      <c r="B814" s="1" t="s">
        <v>2216</v>
      </c>
      <c r="C814" s="6" t="s">
        <v>2217</v>
      </c>
      <c r="G814" s="5" t="s">
        <v>240</v>
      </c>
      <c r="H814" s="5" t="s">
        <v>240</v>
      </c>
      <c r="I814" s="1" t="s">
        <v>2198</v>
      </c>
      <c r="J814" s="1" t="s">
        <v>343</v>
      </c>
      <c r="K814" s="1" t="str">
        <f>CONCATENATE(Table1[[#This Row],[Lead UKGI Contact Forename]],".",Table1[[#This Row],[Lead UKGI Contact Surname]],"@ukgi.org.uk")</f>
        <v>Robert.Carlsson@ukgi.org.uk</v>
      </c>
    </row>
    <row r="815" spans="1:11" ht="25.5" x14ac:dyDescent="0.2">
      <c r="A815" s="1" t="s">
        <v>530</v>
      </c>
      <c r="B815" s="1" t="s">
        <v>382</v>
      </c>
      <c r="C815" s="6" t="s">
        <v>2218</v>
      </c>
      <c r="F815" s="5" t="s">
        <v>2205</v>
      </c>
      <c r="G815" s="5" t="s">
        <v>240</v>
      </c>
      <c r="H815" s="5" t="s">
        <v>240</v>
      </c>
      <c r="I815" s="1" t="s">
        <v>2198</v>
      </c>
      <c r="J815" s="1" t="s">
        <v>343</v>
      </c>
      <c r="K815" s="1" t="str">
        <f>CONCATENATE(Table1[[#This Row],[Lead UKGI Contact Forename]],".",Table1[[#This Row],[Lead UKGI Contact Surname]],"@ukgi.org.uk")</f>
        <v>Robert.Carlsson@ukgi.org.uk</v>
      </c>
    </row>
    <row r="816" spans="1:11" ht="25.5" x14ac:dyDescent="0.2">
      <c r="A816" s="1" t="s">
        <v>2219</v>
      </c>
      <c r="B816" s="1" t="s">
        <v>527</v>
      </c>
      <c r="C816" s="6" t="s">
        <v>2220</v>
      </c>
      <c r="E816" s="5" t="s">
        <v>2221</v>
      </c>
      <c r="G816" s="5" t="s">
        <v>240</v>
      </c>
      <c r="H816" s="5" t="s">
        <v>240</v>
      </c>
      <c r="I816" s="1" t="s">
        <v>2198</v>
      </c>
      <c r="J816" s="1" t="s">
        <v>343</v>
      </c>
      <c r="K816" s="1" t="str">
        <f>CONCATENATE(Table1[[#This Row],[Lead UKGI Contact Forename]],".",Table1[[#This Row],[Lead UKGI Contact Surname]],"@ukgi.org.uk")</f>
        <v>Robert.Carlsson@ukgi.org.uk</v>
      </c>
    </row>
    <row r="817" spans="1:11" ht="25.5" x14ac:dyDescent="0.2">
      <c r="A817" s="1" t="s">
        <v>950</v>
      </c>
      <c r="B817" s="1" t="s">
        <v>2222</v>
      </c>
      <c r="C817" s="6" t="s">
        <v>2223</v>
      </c>
      <c r="E817" s="5" t="s">
        <v>2224</v>
      </c>
      <c r="G817" s="5" t="s">
        <v>40</v>
      </c>
      <c r="H817" s="5" t="s">
        <v>40</v>
      </c>
      <c r="I817" s="1" t="s">
        <v>2099</v>
      </c>
      <c r="J817" s="1" t="s">
        <v>2100</v>
      </c>
      <c r="K817" s="1" t="str">
        <f>CONCATENATE(Table1[[#This Row],[Lead UKGI Contact Forename]],".",Table1[[#This Row],[Lead UKGI Contact Surname]],"@ukgi.org.uk")</f>
        <v>Gina.Mosquera@ukgi.org.uk</v>
      </c>
    </row>
    <row r="818" spans="1:11" x14ac:dyDescent="0.2">
      <c r="A818" s="1" t="s">
        <v>2225</v>
      </c>
      <c r="B818" s="1" t="s">
        <v>2226</v>
      </c>
      <c r="C818" s="6" t="s">
        <v>2227</v>
      </c>
      <c r="F818" s="5" t="s">
        <v>2228</v>
      </c>
      <c r="G818" s="5" t="s">
        <v>40</v>
      </c>
      <c r="H818" s="5" t="s">
        <v>40</v>
      </c>
      <c r="I818" s="1" t="s">
        <v>2099</v>
      </c>
      <c r="J818" s="1" t="s">
        <v>2100</v>
      </c>
      <c r="K818" s="1" t="str">
        <f>CONCATENATE(Table1[[#This Row],[Lead UKGI Contact Forename]],".",Table1[[#This Row],[Lead UKGI Contact Surname]],"@ukgi.org.uk")</f>
        <v>Gina.Mosquera@ukgi.org.uk</v>
      </c>
    </row>
    <row r="819" spans="1:11" x14ac:dyDescent="0.2">
      <c r="A819" s="1" t="s">
        <v>2229</v>
      </c>
      <c r="B819" s="1" t="s">
        <v>89</v>
      </c>
      <c r="C819" s="6" t="s">
        <v>2230</v>
      </c>
      <c r="E819" s="5" t="s">
        <v>2231</v>
      </c>
      <c r="F819" s="5" t="s">
        <v>2232</v>
      </c>
      <c r="G819" s="5" t="s">
        <v>40</v>
      </c>
      <c r="H819" s="5" t="s">
        <v>40</v>
      </c>
      <c r="I819" s="1" t="s">
        <v>2099</v>
      </c>
      <c r="J819" s="1" t="s">
        <v>2100</v>
      </c>
      <c r="K819" s="1" t="str">
        <f>CONCATENATE(Table1[[#This Row],[Lead UKGI Contact Forename]],".",Table1[[#This Row],[Lead UKGI Contact Surname]],"@ukgi.org.uk")</f>
        <v>Gina.Mosquera@ukgi.org.uk</v>
      </c>
    </row>
    <row r="820" spans="1:11" x14ac:dyDescent="0.2">
      <c r="A820" s="1" t="s">
        <v>2233</v>
      </c>
      <c r="B820" s="1" t="s">
        <v>2234</v>
      </c>
      <c r="C820" s="6" t="s">
        <v>2235</v>
      </c>
      <c r="I820" s="1" t="s">
        <v>2099</v>
      </c>
      <c r="J820" s="1" t="s">
        <v>2100</v>
      </c>
      <c r="K820" s="1" t="str">
        <f>CONCATENATE(Table1[[#This Row],[Lead UKGI Contact Forename]],".",Table1[[#This Row],[Lead UKGI Contact Surname]],"@ukgi.org.uk")</f>
        <v>Gina.Mosquera@ukgi.org.uk</v>
      </c>
    </row>
    <row r="821" spans="1:11" ht="25.5" x14ac:dyDescent="0.2">
      <c r="A821" s="1" t="s">
        <v>2236</v>
      </c>
      <c r="B821" s="1" t="s">
        <v>646</v>
      </c>
      <c r="C821" s="6" t="s">
        <v>2237</v>
      </c>
      <c r="G821" s="5" t="s">
        <v>40</v>
      </c>
      <c r="H821" s="5" t="s">
        <v>1382</v>
      </c>
      <c r="I821" s="1" t="s">
        <v>2099</v>
      </c>
      <c r="J821" s="1" t="s">
        <v>2100</v>
      </c>
      <c r="K821" s="1" t="str">
        <f>CONCATENATE(Table1[[#This Row],[Lead UKGI Contact Forename]],".",Table1[[#This Row],[Lead UKGI Contact Surname]],"@ukgi.org.uk")</f>
        <v>Gina.Mosquera@ukgi.org.uk</v>
      </c>
    </row>
    <row r="822" spans="1:11" x14ac:dyDescent="0.2">
      <c r="A822" s="1" t="s">
        <v>58</v>
      </c>
      <c r="B822" s="1" t="s">
        <v>382</v>
      </c>
      <c r="C822" s="6" t="s">
        <v>2238</v>
      </c>
      <c r="E822" s="5" t="s">
        <v>2012</v>
      </c>
      <c r="G822" s="5" t="s">
        <v>40</v>
      </c>
      <c r="H822" s="5" t="s">
        <v>40</v>
      </c>
      <c r="I822" s="1" t="s">
        <v>2099</v>
      </c>
      <c r="J822" s="1" t="s">
        <v>2100</v>
      </c>
      <c r="K822" s="1" t="str">
        <f>CONCATENATE(Table1[[#This Row],[Lead UKGI Contact Forename]],".",Table1[[#This Row],[Lead UKGI Contact Surname]],"@ukgi.org.uk")</f>
        <v>Gina.Mosquera@ukgi.org.uk</v>
      </c>
    </row>
    <row r="823" spans="1:11" x14ac:dyDescent="0.2">
      <c r="A823" s="1" t="s">
        <v>2239</v>
      </c>
      <c r="B823" s="1" t="s">
        <v>2240</v>
      </c>
      <c r="C823" s="6" t="s">
        <v>2241</v>
      </c>
      <c r="G823" s="5" t="s">
        <v>40</v>
      </c>
      <c r="H823" s="5" t="s">
        <v>40</v>
      </c>
      <c r="I823" s="1" t="s">
        <v>2099</v>
      </c>
      <c r="J823" s="1" t="s">
        <v>2100</v>
      </c>
      <c r="K823" s="1" t="str">
        <f>CONCATENATE(Table1[[#This Row],[Lead UKGI Contact Forename]],".",Table1[[#This Row],[Lead UKGI Contact Surname]],"@ukgi.org.uk")</f>
        <v>Gina.Mosquera@ukgi.org.uk</v>
      </c>
    </row>
    <row r="824" spans="1:11" ht="25.5" x14ac:dyDescent="0.2">
      <c r="A824" s="1" t="s">
        <v>2242</v>
      </c>
      <c r="B824" s="1" t="s">
        <v>135</v>
      </c>
      <c r="C824" s="6" t="s">
        <v>2243</v>
      </c>
      <c r="G824" s="5" t="s">
        <v>40</v>
      </c>
      <c r="H824" s="5" t="s">
        <v>1382</v>
      </c>
      <c r="I824" s="1" t="s">
        <v>2099</v>
      </c>
      <c r="J824" s="1" t="s">
        <v>2100</v>
      </c>
      <c r="K824" s="1" t="str">
        <f>CONCATENATE(Table1[[#This Row],[Lead UKGI Contact Forename]],".",Table1[[#This Row],[Lead UKGI Contact Surname]],"@ukgi.org.uk")</f>
        <v>Gina.Mosquera@ukgi.org.uk</v>
      </c>
    </row>
    <row r="825" spans="1:11" x14ac:dyDescent="0.2">
      <c r="A825" s="1" t="s">
        <v>2244</v>
      </c>
      <c r="B825" s="1" t="s">
        <v>2245</v>
      </c>
      <c r="C825" s="6" t="s">
        <v>2246</v>
      </c>
      <c r="E825" s="5" t="s">
        <v>1902</v>
      </c>
      <c r="F825" s="5" t="s">
        <v>2247</v>
      </c>
      <c r="G825" s="5" t="s">
        <v>40</v>
      </c>
      <c r="H825" s="5" t="s">
        <v>2248</v>
      </c>
      <c r="I825" s="1" t="s">
        <v>2099</v>
      </c>
      <c r="J825" s="1" t="s">
        <v>2100</v>
      </c>
      <c r="K825" s="1" t="str">
        <f>CONCATENATE(Table1[[#This Row],[Lead UKGI Contact Forename]],".",Table1[[#This Row],[Lead UKGI Contact Surname]],"@ukgi.org.uk")</f>
        <v>Gina.Mosquera@ukgi.org.uk</v>
      </c>
    </row>
    <row r="826" spans="1:11" x14ac:dyDescent="0.2">
      <c r="A826" s="1" t="s">
        <v>1243</v>
      </c>
      <c r="B826" s="1" t="s">
        <v>2249</v>
      </c>
      <c r="C826" s="6" t="s">
        <v>2250</v>
      </c>
      <c r="E826" s="5" t="s">
        <v>1902</v>
      </c>
      <c r="G826" s="5" t="s">
        <v>40</v>
      </c>
      <c r="H826" s="5" t="s">
        <v>2248</v>
      </c>
      <c r="I826" s="1" t="s">
        <v>2099</v>
      </c>
      <c r="J826" s="1" t="s">
        <v>2100</v>
      </c>
      <c r="K826" s="1" t="str">
        <f>CONCATENATE(Table1[[#This Row],[Lead UKGI Contact Forename]],".",Table1[[#This Row],[Lead UKGI Contact Surname]],"@ukgi.org.uk")</f>
        <v>Gina.Mosquera@ukgi.org.uk</v>
      </c>
    </row>
    <row r="827" spans="1:11" x14ac:dyDescent="0.2">
      <c r="A827" s="1" t="s">
        <v>1911</v>
      </c>
      <c r="B827" s="1" t="s">
        <v>2251</v>
      </c>
      <c r="C827" s="6" t="s">
        <v>2252</v>
      </c>
      <c r="E827" s="5" t="s">
        <v>2253</v>
      </c>
      <c r="F827" s="5" t="s">
        <v>2254</v>
      </c>
      <c r="G827" s="5" t="s">
        <v>162</v>
      </c>
      <c r="H827" s="5" t="s">
        <v>162</v>
      </c>
      <c r="I827" s="1" t="s">
        <v>2255</v>
      </c>
      <c r="J827" s="1" t="s">
        <v>1039</v>
      </c>
      <c r="K827" s="1" t="str">
        <f>CONCATENATE(Table1[[#This Row],[Lead UKGI Contact Forename]],".",Table1[[#This Row],[Lead UKGI Contact Surname]],"@ukgi.org.uk")</f>
        <v>Nathan.Avis@ukgi.org.uk</v>
      </c>
    </row>
    <row r="828" spans="1:11" x14ac:dyDescent="0.2">
      <c r="A828" s="1" t="s">
        <v>2229</v>
      </c>
      <c r="B828" s="1" t="s">
        <v>2256</v>
      </c>
      <c r="C828" s="6" t="s">
        <v>2257</v>
      </c>
      <c r="G828" s="5" t="s">
        <v>162</v>
      </c>
      <c r="H828" s="5" t="s">
        <v>162</v>
      </c>
      <c r="I828" s="1" t="s">
        <v>2255</v>
      </c>
      <c r="J828" s="1" t="s">
        <v>1039</v>
      </c>
      <c r="K828" s="1" t="str">
        <f>CONCATENATE(Table1[[#This Row],[Lead UKGI Contact Forename]],".",Table1[[#This Row],[Lead UKGI Contact Surname]],"@ukgi.org.uk")</f>
        <v>Nathan.Avis@ukgi.org.uk</v>
      </c>
    </row>
    <row r="829" spans="1:11" x14ac:dyDescent="0.2">
      <c r="A829" s="1" t="s">
        <v>2258</v>
      </c>
      <c r="B829" s="1" t="s">
        <v>300</v>
      </c>
      <c r="C829" s="6" t="s">
        <v>2259</v>
      </c>
      <c r="G829" s="5" t="s">
        <v>162</v>
      </c>
      <c r="H829" s="5" t="s">
        <v>162</v>
      </c>
      <c r="I829" s="1" t="s">
        <v>2255</v>
      </c>
      <c r="J829" s="1" t="s">
        <v>1039</v>
      </c>
      <c r="K829" s="1" t="str">
        <f>CONCATENATE(Table1[[#This Row],[Lead UKGI Contact Forename]],".",Table1[[#This Row],[Lead UKGI Contact Surname]],"@ukgi.org.uk")</f>
        <v>Nathan.Avis@ukgi.org.uk</v>
      </c>
    </row>
    <row r="830" spans="1:11" x14ac:dyDescent="0.2">
      <c r="A830" s="1" t="s">
        <v>2260</v>
      </c>
      <c r="B830" s="1" t="s">
        <v>2261</v>
      </c>
      <c r="C830" s="6" t="s">
        <v>2262</v>
      </c>
      <c r="E830" s="5" t="s">
        <v>2263</v>
      </c>
      <c r="F830" s="5" t="s">
        <v>2254</v>
      </c>
      <c r="G830" s="5" t="s">
        <v>162</v>
      </c>
      <c r="H830" s="5" t="s">
        <v>162</v>
      </c>
      <c r="I830" s="1" t="s">
        <v>2255</v>
      </c>
      <c r="J830" s="1" t="s">
        <v>1039</v>
      </c>
      <c r="K830" s="1" t="str">
        <f>CONCATENATE(Table1[[#This Row],[Lead UKGI Contact Forename]],".",Table1[[#This Row],[Lead UKGI Contact Surname]],"@ukgi.org.uk")</f>
        <v>Nathan.Avis@ukgi.org.uk</v>
      </c>
    </row>
    <row r="831" spans="1:11" x14ac:dyDescent="0.2">
      <c r="A831" s="1" t="s">
        <v>2264</v>
      </c>
      <c r="B831" s="1" t="s">
        <v>2265</v>
      </c>
      <c r="C831" s="6" t="s">
        <v>2266</v>
      </c>
      <c r="E831" s="5" t="s">
        <v>2184</v>
      </c>
      <c r="F831" s="5" t="s">
        <v>2254</v>
      </c>
      <c r="G831" s="5" t="s">
        <v>162</v>
      </c>
      <c r="H831" s="5" t="s">
        <v>162</v>
      </c>
      <c r="I831" s="1" t="s">
        <v>2255</v>
      </c>
      <c r="J831" s="1" t="s">
        <v>1039</v>
      </c>
      <c r="K831" s="1" t="str">
        <f>CONCATENATE(Table1[[#This Row],[Lead UKGI Contact Forename]],".",Table1[[#This Row],[Lead UKGI Contact Surname]],"@ukgi.org.uk")</f>
        <v>Nathan.Avis@ukgi.org.uk</v>
      </c>
    </row>
    <row r="832" spans="1:11" x14ac:dyDescent="0.2">
      <c r="A832" s="1" t="s">
        <v>1214</v>
      </c>
      <c r="B832" s="1" t="s">
        <v>1507</v>
      </c>
      <c r="C832" s="6" t="s">
        <v>2267</v>
      </c>
      <c r="E832" s="5" t="s">
        <v>2268</v>
      </c>
      <c r="G832" s="5" t="s">
        <v>162</v>
      </c>
      <c r="H832" s="5" t="s">
        <v>162</v>
      </c>
      <c r="I832" s="1" t="s">
        <v>2255</v>
      </c>
      <c r="J832" s="1" t="s">
        <v>1039</v>
      </c>
      <c r="K832" s="1" t="str">
        <f>CONCATENATE(Table1[[#This Row],[Lead UKGI Contact Forename]],".",Table1[[#This Row],[Lead UKGI Contact Surname]],"@ukgi.org.uk")</f>
        <v>Nathan.Avis@ukgi.org.uk</v>
      </c>
    </row>
    <row r="833" spans="1:11" x14ac:dyDescent="0.2">
      <c r="A833" s="1" t="s">
        <v>2269</v>
      </c>
      <c r="B833" s="1" t="s">
        <v>89</v>
      </c>
      <c r="C833" s="6" t="s">
        <v>2270</v>
      </c>
      <c r="G833" s="5" t="s">
        <v>162</v>
      </c>
      <c r="H833" s="5" t="s">
        <v>162</v>
      </c>
      <c r="I833" s="1" t="s">
        <v>2255</v>
      </c>
      <c r="J833" s="1" t="s">
        <v>1039</v>
      </c>
      <c r="K833" s="1" t="str">
        <f>CONCATENATE(Table1[[#This Row],[Lead UKGI Contact Forename]],".",Table1[[#This Row],[Lead UKGI Contact Surname]],"@ukgi.org.uk")</f>
        <v>Nathan.Avis@ukgi.org.uk</v>
      </c>
    </row>
    <row r="834" spans="1:11" ht="38.25" x14ac:dyDescent="0.2">
      <c r="A834" s="1" t="s">
        <v>2271</v>
      </c>
      <c r="B834" s="1" t="s">
        <v>265</v>
      </c>
      <c r="C834" s="6" t="s">
        <v>2272</v>
      </c>
      <c r="E834" s="5" t="s">
        <v>2021</v>
      </c>
      <c r="G834" s="5" t="s">
        <v>2194</v>
      </c>
      <c r="H834" s="5" t="s">
        <v>2194</v>
      </c>
      <c r="I834" s="1" t="s">
        <v>735</v>
      </c>
      <c r="J834" s="1" t="s">
        <v>2195</v>
      </c>
      <c r="K834" s="1" t="str">
        <f>CONCATENATE(Table1[[#This Row],[Lead UKGI Contact Forename]],".",Table1[[#This Row],[Lead UKGI Contact Surname]],"@ukgi.org.uk")</f>
        <v>Anju.Jacob@ukgi.org.uk</v>
      </c>
    </row>
    <row r="835" spans="1:11" ht="38.25" x14ac:dyDescent="0.2">
      <c r="A835" s="1" t="s">
        <v>2273</v>
      </c>
      <c r="B835" s="1" t="s">
        <v>2274</v>
      </c>
      <c r="C835" s="6" t="s">
        <v>2275</v>
      </c>
      <c r="G835" s="5" t="s">
        <v>2194</v>
      </c>
      <c r="H835" s="5" t="s">
        <v>2194</v>
      </c>
      <c r="I835" s="1" t="s">
        <v>735</v>
      </c>
      <c r="J835" s="1" t="s">
        <v>2195</v>
      </c>
      <c r="K835" s="1" t="str">
        <f>CONCATENATE(Table1[[#This Row],[Lead UKGI Contact Forename]],".",Table1[[#This Row],[Lead UKGI Contact Surname]],"@ukgi.org.uk")</f>
        <v>Anju.Jacob@ukgi.org.uk</v>
      </c>
    </row>
    <row r="836" spans="1:11" ht="38.25" x14ac:dyDescent="0.2">
      <c r="A836" s="1" t="s">
        <v>1509</v>
      </c>
      <c r="B836" s="1" t="s">
        <v>1027</v>
      </c>
      <c r="C836" s="6" t="s">
        <v>2276</v>
      </c>
      <c r="E836" s="5" t="s">
        <v>1991</v>
      </c>
      <c r="G836" s="5" t="s">
        <v>2194</v>
      </c>
      <c r="H836" s="5" t="s">
        <v>2194</v>
      </c>
      <c r="I836" s="1" t="s">
        <v>735</v>
      </c>
      <c r="J836" s="1" t="s">
        <v>2195</v>
      </c>
      <c r="K836" s="1" t="str">
        <f>CONCATENATE(Table1[[#This Row],[Lead UKGI Contact Forename]],".",Table1[[#This Row],[Lead UKGI Contact Surname]],"@ukgi.org.uk")</f>
        <v>Anju.Jacob@ukgi.org.uk</v>
      </c>
    </row>
    <row r="837" spans="1:11" ht="38.25" x14ac:dyDescent="0.2">
      <c r="A837" s="1" t="s">
        <v>2277</v>
      </c>
      <c r="B837" s="1" t="s">
        <v>2278</v>
      </c>
      <c r="C837" s="6" t="s">
        <v>2279</v>
      </c>
      <c r="G837" s="5" t="s">
        <v>2194</v>
      </c>
      <c r="H837" s="5" t="s">
        <v>2194</v>
      </c>
      <c r="I837" s="1" t="s">
        <v>735</v>
      </c>
      <c r="J837" s="1" t="s">
        <v>2195</v>
      </c>
      <c r="K837" s="1" t="str">
        <f>CONCATENATE(Table1[[#This Row],[Lead UKGI Contact Forename]],".",Table1[[#This Row],[Lead UKGI Contact Surname]],"@ukgi.org.uk")</f>
        <v>Anju.Jacob@ukgi.org.uk</v>
      </c>
    </row>
    <row r="838" spans="1:11" ht="38.25" x14ac:dyDescent="0.2">
      <c r="A838" s="1" t="s">
        <v>476</v>
      </c>
      <c r="B838" s="1" t="s">
        <v>147</v>
      </c>
      <c r="C838" s="6" t="s">
        <v>2280</v>
      </c>
      <c r="G838" s="5" t="s">
        <v>2194</v>
      </c>
      <c r="H838" s="5" t="s">
        <v>2194</v>
      </c>
      <c r="I838" s="1" t="s">
        <v>735</v>
      </c>
      <c r="J838" s="1" t="s">
        <v>2195</v>
      </c>
      <c r="K838" s="1" t="str">
        <f>CONCATENATE(Table1[[#This Row],[Lead UKGI Contact Forename]],".",Table1[[#This Row],[Lead UKGI Contact Surname]],"@ukgi.org.uk")</f>
        <v>Anju.Jacob@ukgi.org.uk</v>
      </c>
    </row>
    <row r="839" spans="1:11" ht="38.25" x14ac:dyDescent="0.2">
      <c r="A839" s="1" t="s">
        <v>2281</v>
      </c>
      <c r="B839" s="1" t="s">
        <v>2282</v>
      </c>
      <c r="C839" s="6" t="s">
        <v>2283</v>
      </c>
      <c r="G839" s="5" t="s">
        <v>2194</v>
      </c>
      <c r="H839" s="5" t="s">
        <v>2194</v>
      </c>
      <c r="I839" s="1" t="s">
        <v>735</v>
      </c>
      <c r="J839" s="1" t="s">
        <v>2195</v>
      </c>
      <c r="K839" s="1" t="str">
        <f>CONCATENATE(Table1[[#This Row],[Lead UKGI Contact Forename]],".",Table1[[#This Row],[Lead UKGI Contact Surname]],"@ukgi.org.uk")</f>
        <v>Anju.Jacob@ukgi.org.uk</v>
      </c>
    </row>
    <row r="840" spans="1:11" ht="38.25" x14ac:dyDescent="0.2">
      <c r="A840" s="1" t="s">
        <v>2284</v>
      </c>
      <c r="B840" s="1" t="s">
        <v>2285</v>
      </c>
      <c r="C840" s="6" t="s">
        <v>2286</v>
      </c>
      <c r="G840" s="5" t="s">
        <v>2194</v>
      </c>
      <c r="H840" s="5" t="s">
        <v>2194</v>
      </c>
      <c r="I840" s="1" t="s">
        <v>735</v>
      </c>
      <c r="J840" s="1" t="s">
        <v>2195</v>
      </c>
      <c r="K840" s="1" t="str">
        <f>CONCATENATE(Table1[[#This Row],[Lead UKGI Contact Forename]],".",Table1[[#This Row],[Lead UKGI Contact Surname]],"@ukgi.org.uk")</f>
        <v>Anju.Jacob@ukgi.org.uk</v>
      </c>
    </row>
    <row r="841" spans="1:11" ht="38.25" x14ac:dyDescent="0.2">
      <c r="A841" s="1" t="s">
        <v>2287</v>
      </c>
      <c r="B841" s="1" t="s">
        <v>2288</v>
      </c>
      <c r="C841" s="6" t="s">
        <v>2289</v>
      </c>
      <c r="G841" s="5" t="s">
        <v>2194</v>
      </c>
      <c r="H841" s="5" t="s">
        <v>2194</v>
      </c>
      <c r="I841" s="1" t="s">
        <v>735</v>
      </c>
      <c r="J841" s="1" t="s">
        <v>2195</v>
      </c>
      <c r="K841" s="1" t="str">
        <f>CONCATENATE(Table1[[#This Row],[Lead UKGI Contact Forename]],".",Table1[[#This Row],[Lead UKGI Contact Surname]],"@ukgi.org.uk")</f>
        <v>Anju.Jacob@ukgi.org.uk</v>
      </c>
    </row>
    <row r="842" spans="1:11" ht="38.25" x14ac:dyDescent="0.2">
      <c r="A842" s="1" t="s">
        <v>2290</v>
      </c>
      <c r="B842" s="1" t="s">
        <v>89</v>
      </c>
      <c r="C842" s="6" t="s">
        <v>2291</v>
      </c>
      <c r="E842" s="5" t="s">
        <v>1988</v>
      </c>
      <c r="G842" s="5" t="s">
        <v>2194</v>
      </c>
      <c r="H842" s="5" t="s">
        <v>2194</v>
      </c>
      <c r="I842" s="1" t="s">
        <v>735</v>
      </c>
      <c r="J842" s="1" t="s">
        <v>2195</v>
      </c>
      <c r="K842" s="1" t="str">
        <f>CONCATENATE(Table1[[#This Row],[Lead UKGI Contact Forename]],".",Table1[[#This Row],[Lead UKGI Contact Surname]],"@ukgi.org.uk")</f>
        <v>Anju.Jacob@ukgi.org.uk</v>
      </c>
    </row>
    <row r="843" spans="1:11" ht="38.25" x14ac:dyDescent="0.2">
      <c r="A843" s="1" t="s">
        <v>2292</v>
      </c>
      <c r="B843" s="1" t="s">
        <v>152</v>
      </c>
      <c r="C843" s="6" t="s">
        <v>2293</v>
      </c>
      <c r="E843" s="5" t="s">
        <v>2294</v>
      </c>
      <c r="F843" s="5" t="s">
        <v>2295</v>
      </c>
      <c r="G843" s="5" t="s">
        <v>2194</v>
      </c>
      <c r="H843" s="5" t="s">
        <v>1292</v>
      </c>
      <c r="I843" s="1" t="s">
        <v>735</v>
      </c>
      <c r="J843" s="1" t="s">
        <v>2195</v>
      </c>
      <c r="K843" s="1" t="str">
        <f>CONCATENATE(Table1[[#This Row],[Lead UKGI Contact Forename]],".",Table1[[#This Row],[Lead UKGI Contact Surname]],"@ukgi.org.uk")</f>
        <v>Anju.Jacob@ukgi.org.uk</v>
      </c>
    </row>
    <row r="844" spans="1:11" ht="38.25" x14ac:dyDescent="0.2">
      <c r="A844" s="1" t="s">
        <v>89</v>
      </c>
      <c r="B844" s="1" t="s">
        <v>486</v>
      </c>
      <c r="C844" s="6" t="s">
        <v>2296</v>
      </c>
      <c r="E844" s="5" t="s">
        <v>2297</v>
      </c>
      <c r="G844" s="5" t="s">
        <v>2194</v>
      </c>
      <c r="H844" s="5" t="s">
        <v>1292</v>
      </c>
      <c r="I844" s="1" t="s">
        <v>735</v>
      </c>
      <c r="J844" s="1" t="s">
        <v>2195</v>
      </c>
      <c r="K844" s="1" t="str">
        <f>CONCATENATE(Table1[[#This Row],[Lead UKGI Contact Forename]],".",Table1[[#This Row],[Lead UKGI Contact Surname]],"@ukgi.org.uk")</f>
        <v>Anju.Jacob@ukgi.org.uk</v>
      </c>
    </row>
    <row r="845" spans="1:11" ht="38.25" x14ac:dyDescent="0.2">
      <c r="A845" s="1" t="s">
        <v>2298</v>
      </c>
      <c r="B845" s="1" t="s">
        <v>713</v>
      </c>
      <c r="C845" s="6" t="s">
        <v>2299</v>
      </c>
      <c r="E845" s="5" t="s">
        <v>2297</v>
      </c>
      <c r="G845" s="5" t="s">
        <v>2194</v>
      </c>
      <c r="H845" s="5" t="s">
        <v>1292</v>
      </c>
      <c r="I845" s="1" t="s">
        <v>735</v>
      </c>
      <c r="J845" s="1" t="s">
        <v>2195</v>
      </c>
      <c r="K845" s="1" t="str">
        <f>CONCATENATE(Table1[[#This Row],[Lead UKGI Contact Forename]],".",Table1[[#This Row],[Lead UKGI Contact Surname]],"@ukgi.org.uk")</f>
        <v>Anju.Jacob@ukgi.org.uk</v>
      </c>
    </row>
    <row r="846" spans="1:11" x14ac:dyDescent="0.2">
      <c r="A846" s="1" t="s">
        <v>530</v>
      </c>
      <c r="B846" s="1" t="s">
        <v>2300</v>
      </c>
      <c r="C846" s="6" t="s">
        <v>2301</v>
      </c>
      <c r="G846" s="5" t="s">
        <v>260</v>
      </c>
      <c r="H846" s="5" t="s">
        <v>260</v>
      </c>
      <c r="I846" s="1" t="s">
        <v>2198</v>
      </c>
      <c r="J846" s="1" t="s">
        <v>343</v>
      </c>
      <c r="K846" s="1" t="str">
        <f>CONCATENATE(Table1[[#This Row],[Lead UKGI Contact Forename]],".",Table1[[#This Row],[Lead UKGI Contact Surname]],"@ukgi.org.uk")</f>
        <v>Robert.Carlsson@ukgi.org.uk</v>
      </c>
    </row>
    <row r="847" spans="1:11" x14ac:dyDescent="0.2">
      <c r="A847" s="1" t="s">
        <v>2302</v>
      </c>
      <c r="B847" s="1" t="s">
        <v>63</v>
      </c>
      <c r="C847" s="6" t="s">
        <v>2303</v>
      </c>
      <c r="G847" s="5" t="s">
        <v>260</v>
      </c>
      <c r="H847" s="5" t="s">
        <v>260</v>
      </c>
      <c r="I847" s="1" t="s">
        <v>2198</v>
      </c>
      <c r="J847" s="1" t="s">
        <v>343</v>
      </c>
      <c r="K847" s="1" t="str">
        <f>CONCATENATE(Table1[[#This Row],[Lead UKGI Contact Forename]],".",Table1[[#This Row],[Lead UKGI Contact Surname]],"@ukgi.org.uk")</f>
        <v>Robert.Carlsson@ukgi.org.uk</v>
      </c>
    </row>
    <row r="848" spans="1:11" ht="15" x14ac:dyDescent="0.2">
      <c r="A848" s="1" t="s">
        <v>2304</v>
      </c>
      <c r="B848" s="1" t="s">
        <v>2305</v>
      </c>
      <c r="C848" s="11" t="s">
        <v>2306</v>
      </c>
      <c r="E848" s="5" t="s">
        <v>2307</v>
      </c>
      <c r="G848" s="5" t="s">
        <v>260</v>
      </c>
      <c r="H848" s="5" t="s">
        <v>260</v>
      </c>
      <c r="I848" s="1" t="s">
        <v>2198</v>
      </c>
      <c r="J848" s="1" t="s">
        <v>343</v>
      </c>
      <c r="K848" s="1" t="str">
        <f>CONCATENATE(Table1[[#This Row],[Lead UKGI Contact Forename]],".",Table1[[#This Row],[Lead UKGI Contact Surname]],"@ukgi.org.uk")</f>
        <v>Robert.Carlsson@ukgi.org.uk</v>
      </c>
    </row>
    <row r="849" spans="1:11" x14ac:dyDescent="0.2">
      <c r="A849" s="1" t="s">
        <v>264</v>
      </c>
      <c r="B849" s="1" t="s">
        <v>155</v>
      </c>
      <c r="C849" s="6" t="s">
        <v>2308</v>
      </c>
      <c r="G849" s="5" t="s">
        <v>260</v>
      </c>
      <c r="H849" s="5" t="s">
        <v>260</v>
      </c>
      <c r="I849" s="1" t="s">
        <v>2198</v>
      </c>
      <c r="J849" s="1" t="s">
        <v>343</v>
      </c>
      <c r="K849" s="1" t="str">
        <f>CONCATENATE(Table1[[#This Row],[Lead UKGI Contact Forename]],".",Table1[[#This Row],[Lead UKGI Contact Surname]],"@ukgi.org.uk")</f>
        <v>Robert.Carlsson@ukgi.org.uk</v>
      </c>
    </row>
    <row r="850" spans="1:11" x14ac:dyDescent="0.2">
      <c r="A850" s="1" t="s">
        <v>2309</v>
      </c>
      <c r="B850" s="1" t="s">
        <v>684</v>
      </c>
      <c r="C850" s="6" t="s">
        <v>2310</v>
      </c>
      <c r="G850" s="5" t="s">
        <v>260</v>
      </c>
      <c r="H850" s="5" t="s">
        <v>260</v>
      </c>
      <c r="I850" s="1" t="s">
        <v>2198</v>
      </c>
      <c r="J850" s="1" t="s">
        <v>343</v>
      </c>
      <c r="K850" s="1" t="str">
        <f>CONCATENATE(Table1[[#This Row],[Lead UKGI Contact Forename]],".",Table1[[#This Row],[Lead UKGI Contact Surname]],"@ukgi.org.uk")</f>
        <v>Robert.Carlsson@ukgi.org.uk</v>
      </c>
    </row>
    <row r="851" spans="1:11" x14ac:dyDescent="0.2">
      <c r="A851" s="1" t="s">
        <v>2311</v>
      </c>
      <c r="B851" s="1" t="s">
        <v>2312</v>
      </c>
      <c r="C851" s="6" t="s">
        <v>2313</v>
      </c>
      <c r="G851" s="5" t="s">
        <v>260</v>
      </c>
      <c r="H851" s="5" t="s">
        <v>260</v>
      </c>
      <c r="I851" s="1" t="s">
        <v>2198</v>
      </c>
      <c r="J851" s="1" t="s">
        <v>343</v>
      </c>
      <c r="K851" s="1" t="str">
        <f>CONCATENATE(Table1[[#This Row],[Lead UKGI Contact Forename]],".",Table1[[#This Row],[Lead UKGI Contact Surname]],"@ukgi.org.uk")</f>
        <v>Robert.Carlsson@ukgi.org.uk</v>
      </c>
    </row>
    <row r="852" spans="1:11" x14ac:dyDescent="0.2">
      <c r="A852" s="1" t="s">
        <v>2314</v>
      </c>
      <c r="B852" s="1" t="s">
        <v>896</v>
      </c>
      <c r="C852" s="6" t="s">
        <v>2315</v>
      </c>
      <c r="G852" s="5" t="s">
        <v>260</v>
      </c>
      <c r="H852" s="5" t="s">
        <v>260</v>
      </c>
      <c r="I852" s="1" t="s">
        <v>2198</v>
      </c>
      <c r="J852" s="1" t="s">
        <v>343</v>
      </c>
      <c r="K852" s="1" t="str">
        <f>CONCATENATE(Table1[[#This Row],[Lead UKGI Contact Forename]],".",Table1[[#This Row],[Lead UKGI Contact Surname]],"@ukgi.org.uk")</f>
        <v>Robert.Carlsson@ukgi.org.uk</v>
      </c>
    </row>
    <row r="853" spans="1:11" x14ac:dyDescent="0.2">
      <c r="A853" s="1" t="s">
        <v>2316</v>
      </c>
      <c r="B853" s="1" t="s">
        <v>2317</v>
      </c>
      <c r="C853" s="6" t="s">
        <v>2318</v>
      </c>
      <c r="F853" s="5" t="s">
        <v>2319</v>
      </c>
      <c r="G853" s="5" t="s">
        <v>260</v>
      </c>
      <c r="H853" s="5" t="s">
        <v>260</v>
      </c>
      <c r="I853" s="1" t="s">
        <v>2198</v>
      </c>
      <c r="J853" s="1" t="s">
        <v>343</v>
      </c>
      <c r="K853" s="1" t="str">
        <f>CONCATENATE(Table1[[#This Row],[Lead UKGI Contact Forename]],".",Table1[[#This Row],[Lead UKGI Contact Surname]],"@ukgi.org.uk")</f>
        <v>Robert.Carlsson@ukgi.org.uk</v>
      </c>
    </row>
    <row r="854" spans="1:11" x14ac:dyDescent="0.2">
      <c r="A854" s="1" t="s">
        <v>2320</v>
      </c>
      <c r="B854" s="1" t="s">
        <v>303</v>
      </c>
      <c r="C854" s="6" t="s">
        <v>2321</v>
      </c>
      <c r="F854" s="5" t="s">
        <v>2319</v>
      </c>
      <c r="G854" s="5" t="s">
        <v>260</v>
      </c>
      <c r="H854" s="5" t="s">
        <v>260</v>
      </c>
      <c r="I854" s="1" t="s">
        <v>2198</v>
      </c>
      <c r="J854" s="1" t="s">
        <v>343</v>
      </c>
      <c r="K854" s="1" t="str">
        <f>CONCATENATE(Table1[[#This Row],[Lead UKGI Contact Forename]],".",Table1[[#This Row],[Lead UKGI Contact Surname]],"@ukgi.org.uk")</f>
        <v>Robert.Carlsson@ukgi.org.uk</v>
      </c>
    </row>
    <row r="855" spans="1:11" x14ac:dyDescent="0.2">
      <c r="A855" s="1" t="s">
        <v>2322</v>
      </c>
      <c r="B855" s="1" t="s">
        <v>204</v>
      </c>
      <c r="C855" s="6" t="s">
        <v>2323</v>
      </c>
      <c r="G855" s="5" t="s">
        <v>1008</v>
      </c>
      <c r="H855" s="5" t="s">
        <v>1008</v>
      </c>
      <c r="I855" s="1" t="s">
        <v>2324</v>
      </c>
      <c r="J855" s="1" t="s">
        <v>2325</v>
      </c>
      <c r="K855" s="1" t="str">
        <f>CONCATENATE(Table1[[#This Row],[Lead UKGI Contact Forename]],".",Table1[[#This Row],[Lead UKGI Contact Surname]],"@ukgi.org.uk")</f>
        <v>Federica.Demurtas@ukgi.org.uk</v>
      </c>
    </row>
    <row r="856" spans="1:11" x14ac:dyDescent="0.2">
      <c r="A856" s="1" t="s">
        <v>2326</v>
      </c>
      <c r="B856" s="1" t="s">
        <v>2327</v>
      </c>
      <c r="C856" s="6" t="s">
        <v>2328</v>
      </c>
      <c r="G856" s="5" t="s">
        <v>1008</v>
      </c>
      <c r="H856" s="5" t="s">
        <v>1008</v>
      </c>
      <c r="I856" s="1" t="s">
        <v>2324</v>
      </c>
      <c r="J856" s="1" t="s">
        <v>2325</v>
      </c>
      <c r="K856" s="1" t="str">
        <f>CONCATENATE(Table1[[#This Row],[Lead UKGI Contact Forename]],".",Table1[[#This Row],[Lead UKGI Contact Surname]],"@ukgi.org.uk")</f>
        <v>Federica.Demurtas@ukgi.org.uk</v>
      </c>
    </row>
    <row r="857" spans="1:11" x14ac:dyDescent="0.2">
      <c r="A857" s="1" t="s">
        <v>2329</v>
      </c>
      <c r="B857" s="1" t="s">
        <v>410</v>
      </c>
      <c r="C857" s="6" t="s">
        <v>2330</v>
      </c>
      <c r="G857" s="5" t="s">
        <v>1008</v>
      </c>
      <c r="H857" s="5" t="s">
        <v>1008</v>
      </c>
      <c r="I857" s="1" t="s">
        <v>2324</v>
      </c>
      <c r="J857" s="1" t="s">
        <v>2325</v>
      </c>
      <c r="K857" s="1" t="str">
        <f>CONCATENATE(Table1[[#This Row],[Lead UKGI Contact Forename]],".",Table1[[#This Row],[Lead UKGI Contact Surname]],"@ukgi.org.uk")</f>
        <v>Federica.Demurtas@ukgi.org.uk</v>
      </c>
    </row>
    <row r="858" spans="1:11" x14ac:dyDescent="0.2">
      <c r="A858" s="1" t="s">
        <v>1539</v>
      </c>
      <c r="B858" s="1" t="s">
        <v>2331</v>
      </c>
      <c r="C858" s="6" t="s">
        <v>2332</v>
      </c>
      <c r="E858" s="5" t="s">
        <v>2027</v>
      </c>
      <c r="G858" s="5" t="s">
        <v>1008</v>
      </c>
      <c r="H858" s="5" t="s">
        <v>1008</v>
      </c>
      <c r="I858" s="1" t="s">
        <v>2324</v>
      </c>
      <c r="J858" s="1" t="s">
        <v>2325</v>
      </c>
      <c r="K858" s="1" t="str">
        <f>CONCATENATE(Table1[[#This Row],[Lead UKGI Contact Forename]],".",Table1[[#This Row],[Lead UKGI Contact Surname]],"@ukgi.org.uk")</f>
        <v>Federica.Demurtas@ukgi.org.uk</v>
      </c>
    </row>
    <row r="859" spans="1:11" ht="25.5" x14ac:dyDescent="0.2">
      <c r="A859" s="1" t="s">
        <v>2333</v>
      </c>
      <c r="B859" s="1" t="s">
        <v>2334</v>
      </c>
      <c r="C859" s="6" t="s">
        <v>2335</v>
      </c>
      <c r="E859" s="5" t="s">
        <v>2336</v>
      </c>
      <c r="F859" s="5" t="s">
        <v>2337</v>
      </c>
      <c r="G859" s="5" t="s">
        <v>124</v>
      </c>
      <c r="H859" s="5" t="s">
        <v>124</v>
      </c>
      <c r="I859" s="1" t="s">
        <v>2338</v>
      </c>
      <c r="J859" s="1" t="s">
        <v>2339</v>
      </c>
      <c r="K859" s="1" t="str">
        <f>CONCATENATE(Table1[[#This Row],[Lead UKGI Contact Forename]],".",Table1[[#This Row],[Lead UKGI Contact Surname]],"@ukgi.org.uk")</f>
        <v>Mohammad.Hassan@ukgi.org.uk</v>
      </c>
    </row>
    <row r="860" spans="1:11" ht="25.5" x14ac:dyDescent="0.2">
      <c r="A860" s="1" t="s">
        <v>2340</v>
      </c>
      <c r="B860" s="1" t="s">
        <v>2341</v>
      </c>
      <c r="C860" s="6" t="s">
        <v>2342</v>
      </c>
      <c r="E860" s="5" t="s">
        <v>2343</v>
      </c>
      <c r="G860" s="5" t="s">
        <v>124</v>
      </c>
      <c r="H860" s="5" t="s">
        <v>124</v>
      </c>
      <c r="I860" s="1" t="s">
        <v>2338</v>
      </c>
      <c r="J860" s="1" t="s">
        <v>2339</v>
      </c>
      <c r="K860" s="1" t="str">
        <f>CONCATENATE(Table1[[#This Row],[Lead UKGI Contact Forename]],".",Table1[[#This Row],[Lead UKGI Contact Surname]],"@ukgi.org.uk")</f>
        <v>Mohammad.Hassan@ukgi.org.uk</v>
      </c>
    </row>
    <row r="861" spans="1:11" x14ac:dyDescent="0.2">
      <c r="A861" s="1" t="s">
        <v>2344</v>
      </c>
      <c r="B861" s="1" t="s">
        <v>57</v>
      </c>
      <c r="C861" s="6" t="s">
        <v>2345</v>
      </c>
      <c r="E861" s="5" t="s">
        <v>2018</v>
      </c>
      <c r="G861" s="5" t="s">
        <v>124</v>
      </c>
      <c r="H861" s="5" t="s">
        <v>124</v>
      </c>
      <c r="I861" s="1" t="s">
        <v>2338</v>
      </c>
      <c r="J861" s="1" t="s">
        <v>2339</v>
      </c>
      <c r="K861" s="1" t="str">
        <f>CONCATENATE(Table1[[#This Row],[Lead UKGI Contact Forename]],".",Table1[[#This Row],[Lead UKGI Contact Surname]],"@ukgi.org.uk")</f>
        <v>Mohammad.Hassan@ukgi.org.uk</v>
      </c>
    </row>
    <row r="862" spans="1:11" x14ac:dyDescent="0.2">
      <c r="A862" s="1" t="s">
        <v>2346</v>
      </c>
      <c r="B862" s="1" t="s">
        <v>2347</v>
      </c>
      <c r="C862" s="6" t="s">
        <v>2348</v>
      </c>
      <c r="G862" s="5" t="s">
        <v>124</v>
      </c>
      <c r="H862" s="5" t="s">
        <v>124</v>
      </c>
      <c r="I862" s="1" t="s">
        <v>2338</v>
      </c>
      <c r="J862" s="1" t="s">
        <v>2339</v>
      </c>
      <c r="K862" s="1" t="str">
        <f>CONCATENATE(Table1[[#This Row],[Lead UKGI Contact Forename]],".",Table1[[#This Row],[Lead UKGI Contact Surname]],"@ukgi.org.uk")</f>
        <v>Mohammad.Hassan@ukgi.org.uk</v>
      </c>
    </row>
    <row r="863" spans="1:11" ht="25.5" x14ac:dyDescent="0.2">
      <c r="A863" s="1" t="s">
        <v>2349</v>
      </c>
      <c r="B863" s="1" t="s">
        <v>2350</v>
      </c>
      <c r="C863" s="6" t="s">
        <v>2351</v>
      </c>
      <c r="E863" s="5" t="s">
        <v>2352</v>
      </c>
      <c r="G863" s="5" t="s">
        <v>124</v>
      </c>
      <c r="H863" s="5" t="s">
        <v>124</v>
      </c>
      <c r="I863" s="1" t="s">
        <v>2338</v>
      </c>
      <c r="J863" s="1" t="s">
        <v>2339</v>
      </c>
      <c r="K863" s="1" t="str">
        <f>CONCATENATE(Table1[[#This Row],[Lead UKGI Contact Forename]],".",Table1[[#This Row],[Lead UKGI Contact Surname]],"@ukgi.org.uk")</f>
        <v>Mohammad.Hassan@ukgi.org.uk</v>
      </c>
    </row>
    <row r="864" spans="1:11" x14ac:dyDescent="0.2">
      <c r="A864" s="1" t="s">
        <v>2353</v>
      </c>
      <c r="B864" s="1" t="s">
        <v>2354</v>
      </c>
      <c r="C864" s="6" t="s">
        <v>2355</v>
      </c>
      <c r="E864" s="5" t="s">
        <v>2356</v>
      </c>
      <c r="G864" s="5" t="s">
        <v>124</v>
      </c>
      <c r="H864" s="5" t="s">
        <v>124</v>
      </c>
      <c r="I864" s="1" t="s">
        <v>2338</v>
      </c>
      <c r="J864" s="1" t="s">
        <v>2339</v>
      </c>
      <c r="K864" s="1" t="str">
        <f>CONCATENATE(Table1[[#This Row],[Lead UKGI Contact Forename]],".",Table1[[#This Row],[Lead UKGI Contact Surname]],"@ukgi.org.uk")</f>
        <v>Mohammad.Hassan@ukgi.org.uk</v>
      </c>
    </row>
    <row r="865" spans="1:11" x14ac:dyDescent="0.2">
      <c r="A865" s="1" t="s">
        <v>2236</v>
      </c>
      <c r="B865" s="1" t="s">
        <v>2357</v>
      </c>
      <c r="C865" s="6" t="s">
        <v>2358</v>
      </c>
      <c r="G865" s="5" t="s">
        <v>124</v>
      </c>
      <c r="H865" s="5" t="s">
        <v>124</v>
      </c>
      <c r="I865" s="1" t="s">
        <v>2338</v>
      </c>
      <c r="J865" s="1" t="s">
        <v>2339</v>
      </c>
      <c r="K865" s="1" t="str">
        <f>CONCATENATE(Table1[[#This Row],[Lead UKGI Contact Forename]],".",Table1[[#This Row],[Lead UKGI Contact Surname]],"@ukgi.org.uk")</f>
        <v>Mohammad.Hassan@ukgi.org.uk</v>
      </c>
    </row>
    <row r="866" spans="1:11" ht="25.5" x14ac:dyDescent="0.2">
      <c r="A866" s="1" t="s">
        <v>2359</v>
      </c>
      <c r="B866" s="1" t="s">
        <v>2360</v>
      </c>
      <c r="C866" s="6" t="s">
        <v>2361</v>
      </c>
      <c r="E866" s="5" t="s">
        <v>2362</v>
      </c>
      <c r="G866" s="5" t="s">
        <v>2036</v>
      </c>
      <c r="H866" s="5" t="s">
        <v>2036</v>
      </c>
      <c r="I866" s="1" t="s">
        <v>2033</v>
      </c>
      <c r="J866" s="1" t="s">
        <v>818</v>
      </c>
      <c r="K866" s="1" t="str">
        <f>CONCATENATE(Table1[[#This Row],[Lead UKGI Contact Forename]],".",Table1[[#This Row],[Lead UKGI Contact Surname]],"@ukgi.org.uk")</f>
        <v>Kris.Walters@ukgi.org.uk</v>
      </c>
    </row>
  </sheetData>
  <conditionalFormatting sqref="C848">
    <cfRule type="duplicateValues" dxfId="0" priority="1"/>
  </conditionalFormatting>
  <hyperlinks>
    <hyperlink ref="C38" r:id="rId1" xr:uid="{9FAFBB10-8DB3-4EAF-9807-A43197369307}"/>
    <hyperlink ref="C466" r:id="rId2" xr:uid="{D6BEB2E8-20E9-48FB-88C8-922F75F88E95}"/>
    <hyperlink ref="C2" r:id="rId3" display="mailto:daniel.earle@hmtreasury.gov.uk" xr:uid="{B9B05B8F-F65C-422D-BFAF-99424F5713B5}"/>
    <hyperlink ref="C711" r:id="rId4" xr:uid="{E0FDFD09-04AE-44CB-AD97-723A3D793EEC}"/>
    <hyperlink ref="C730" r:id="rId5" xr:uid="{276837C7-0C8D-4755-B034-0F745CD76BE9}"/>
    <hyperlink ref="C731" r:id="rId6" xr:uid="{26ABDB1E-E369-44BB-9EAC-38F11FEF9D9E}"/>
    <hyperlink ref="C732" r:id="rId7" xr:uid="{1D2A76A5-B26B-4088-ACD4-ECFD73A443E0}"/>
    <hyperlink ref="C733" r:id="rId8" xr:uid="{40A44004-09E9-45E9-9A4E-C9CF4C682271}"/>
    <hyperlink ref="C734" r:id="rId9" xr:uid="{067B4407-B2FE-4938-9ADE-888CDE4A746A}"/>
    <hyperlink ref="C735" r:id="rId10" xr:uid="{CCA947C3-D468-42D8-AFFD-85910C862DD4}"/>
    <hyperlink ref="C736" r:id="rId11" xr:uid="{CBA4260C-6CFD-4CC1-A791-230AD6B160B9}"/>
    <hyperlink ref="C737" r:id="rId12" xr:uid="{C3F4AD47-54F7-4C6D-9616-FEBE8F7D2C85}"/>
    <hyperlink ref="C738" r:id="rId13" xr:uid="{C944D0A8-7AD2-4BFB-98F0-DC11194C2A69}"/>
    <hyperlink ref="C739" r:id="rId14" xr:uid="{49C54B14-D8D5-4330-9F45-B08C9CDE338D}"/>
    <hyperlink ref="C740" r:id="rId15" xr:uid="{094D4ABC-9A15-41D5-923E-4A56428D3955}"/>
    <hyperlink ref="C741" r:id="rId16" xr:uid="{7A9BF462-5171-41F8-BEED-548DE83F6998}"/>
    <hyperlink ref="C742" r:id="rId17" xr:uid="{B5FCA53D-5DE9-485A-B330-0376013E491A}"/>
    <hyperlink ref="C743" r:id="rId18" xr:uid="{C94E4944-BC22-48F1-AB5D-26A7FC19B8E8}"/>
    <hyperlink ref="C744" r:id="rId19" xr:uid="{BD7C1F6E-8372-48FA-87FB-219A99724FF1}"/>
    <hyperlink ref="C745" r:id="rId20" xr:uid="{EE09736C-4771-4498-AAB3-DA25673B124E}"/>
    <hyperlink ref="C746" r:id="rId21" xr:uid="{2E3AE956-846C-45BE-95E3-E63D729984C4}"/>
    <hyperlink ref="C747" r:id="rId22" xr:uid="{7BDC7864-375B-46E1-B622-AD3CD20D9443}"/>
    <hyperlink ref="C748" r:id="rId23" xr:uid="{FBBA7C2F-E57B-4E23-9C37-05C9B35EEDC0}"/>
    <hyperlink ref="C749" r:id="rId24" xr:uid="{A974428D-619C-4337-8422-E47CAAE3D63F}"/>
    <hyperlink ref="C750" r:id="rId25" xr:uid="{9C4B8C9D-A867-4C1F-8E76-4299B769BF7C}"/>
    <hyperlink ref="C751" r:id="rId26" xr:uid="{838B6756-2E26-4E25-9DC0-53563AC5EE23}"/>
    <hyperlink ref="C752" r:id="rId27" xr:uid="{E2EFAEBF-044D-43FB-A124-7E29B57AB43D}"/>
    <hyperlink ref="C726" r:id="rId28" xr:uid="{C8B4FFFD-D081-4F5D-82C9-BF6E3A917467}"/>
    <hyperlink ref="C753" r:id="rId29" xr:uid="{11C153D0-E4AD-4A8D-977D-62B41294A33E}"/>
    <hyperlink ref="C754" r:id="rId30" xr:uid="{F865CBF2-E3BD-4DAD-80AC-D5B048D7DAD6}"/>
    <hyperlink ref="C755" r:id="rId31" xr:uid="{A22A4F60-41A1-4DE6-9D8B-4CAAE0E65B9B}"/>
    <hyperlink ref="C756" r:id="rId32" xr:uid="{A278D9CB-3D79-4000-A6F2-455309525C9E}"/>
    <hyperlink ref="C757" r:id="rId33" xr:uid="{1F70C773-2A4E-4D16-8AEB-08A9A09DD6D3}"/>
    <hyperlink ref="C758" r:id="rId34" xr:uid="{8C955762-BDC4-41A8-AC86-53AAD452B019}"/>
    <hyperlink ref="C759" r:id="rId35" xr:uid="{D9D5D088-B04A-4C15-AB7C-48B1CFD7678B}"/>
    <hyperlink ref="C760" r:id="rId36" xr:uid="{37BF2670-3F49-46BB-982D-37769546E3E8}"/>
    <hyperlink ref="C761" r:id="rId37" xr:uid="{1154C693-B94D-44BC-8741-93B80862113C}"/>
    <hyperlink ref="C762" r:id="rId38" xr:uid="{DF2C0C1D-0E08-49FE-B8B8-D7D51806ACAF}"/>
    <hyperlink ref="C763" r:id="rId39" xr:uid="{A1F3C627-B653-4F3A-868C-735FBEA7DBFA}"/>
    <hyperlink ref="C764" r:id="rId40" xr:uid="{E5CA1A7D-6C57-4FB6-8542-F5C9E0057D1E}"/>
    <hyperlink ref="C765" r:id="rId41" xr:uid="{42D3331C-E70C-461B-BA1A-A3CD1A49C7BE}"/>
    <hyperlink ref="C766" r:id="rId42" xr:uid="{EDF3543B-71C5-4885-9C00-C1FC86E90ECD}"/>
    <hyperlink ref="C767" r:id="rId43" xr:uid="{EDBD6784-FC38-4293-A3F2-ED76D368DD66}"/>
    <hyperlink ref="C768" r:id="rId44" xr:uid="{DA24B05F-6ED4-4738-9DA1-543EBC17E9E6}"/>
    <hyperlink ref="C769" r:id="rId45" xr:uid="{63226245-0E46-48F4-9AC8-A7F8DEDC597F}"/>
    <hyperlink ref="C770" r:id="rId46" xr:uid="{37BD066A-231C-4B2B-B036-46AE1A66D819}"/>
    <hyperlink ref="C771" r:id="rId47" xr:uid="{220F6B89-A59B-4796-ADC0-EC1F7169AD65}"/>
    <hyperlink ref="C772" r:id="rId48" xr:uid="{84BC8C92-3332-41A3-B511-5F93FE07EE33}"/>
    <hyperlink ref="C773" r:id="rId49" xr:uid="{CE70C8D4-2E3D-4F00-A295-95B084A83238}"/>
    <hyperlink ref="C774" r:id="rId50" xr:uid="{36BF5474-AEDC-4AE6-977E-04BF166809F1}"/>
    <hyperlink ref="C775" r:id="rId51" xr:uid="{4861ACE7-FE6F-46BA-ADED-23056EBC7D3D}"/>
    <hyperlink ref="C776" r:id="rId52" xr:uid="{FB73C0B0-BC52-4447-A63D-C8D706FAAF51}"/>
    <hyperlink ref="C777" r:id="rId53" xr:uid="{FA87E54A-A395-45CD-A520-1DAA467536BE}"/>
    <hyperlink ref="C778" r:id="rId54" xr:uid="{DC511DB5-2AD5-4E4A-890F-0CDB912FED7A}"/>
    <hyperlink ref="C779" r:id="rId55" xr:uid="{E6F593AD-C3A7-42E1-B7AA-41184A8ADE99}"/>
    <hyperlink ref="C780" r:id="rId56" xr:uid="{62E9ADE4-E8BF-42DB-A4E1-20762FD68314}"/>
    <hyperlink ref="C781" r:id="rId57" xr:uid="{DAA27BB0-CC05-41AC-91DD-66633E4A5D88}"/>
    <hyperlink ref="C782" r:id="rId58" xr:uid="{3627B74A-0FD2-4733-BE3C-E607CEEBB49C}"/>
    <hyperlink ref="C783" r:id="rId59" xr:uid="{83DE97E7-1455-4753-9665-3F2FC3457BF9}"/>
    <hyperlink ref="C784" r:id="rId60" xr:uid="{1664E29C-5861-4247-AC7E-BC506393050A}"/>
    <hyperlink ref="C785" r:id="rId61" xr:uid="{EF79628F-E4ED-4740-B287-EB9E31B5021B}"/>
    <hyperlink ref="C786" r:id="rId62" xr:uid="{86AC1D71-4CAA-4692-B44D-D889B76BE53C}"/>
    <hyperlink ref="C787" r:id="rId63" xr:uid="{DB18315A-0978-4D8A-B4CD-7966B6022DC3}"/>
    <hyperlink ref="C788" r:id="rId64" xr:uid="{80DE2381-AEE2-4E02-846A-463CE9811910}"/>
    <hyperlink ref="C789" r:id="rId65" xr:uid="{8E512A35-8080-458F-AA1C-1FB2DF847B3E}"/>
    <hyperlink ref="C790" r:id="rId66" xr:uid="{9DD1C072-9862-4E33-950D-8EA00868CF50}"/>
    <hyperlink ref="C791" r:id="rId67" xr:uid="{7F36B692-0769-4B09-B497-F05727DA776F}"/>
    <hyperlink ref="C792" r:id="rId68" xr:uid="{3952B6F1-D652-49E2-AABC-88EEB9D64086}"/>
    <hyperlink ref="C793" r:id="rId69" xr:uid="{0CBE43A1-0C6D-43A7-86A8-ADB4579651B2}"/>
    <hyperlink ref="C794" r:id="rId70" xr:uid="{747D9E2E-FF25-4137-8CD2-9364F1EA242A}"/>
    <hyperlink ref="C795" r:id="rId71" xr:uid="{38276023-94AF-4118-A5E2-1FB254CDC2EE}"/>
    <hyperlink ref="C3:C25" r:id="rId72" display="mailto:daniel.earle@hmtreasury.gov.uk" xr:uid="{5635F0E9-80AC-48BC-B3A6-F06BEB8CCD95}"/>
    <hyperlink ref="C699:C710" r:id="rId73" display="mailto:daniel.earle@hmtreasury.gov.uk" xr:uid="{ACCF8728-99EE-4917-AE05-EE32F56F6959}"/>
    <hyperlink ref="C713:C725" r:id="rId74" display="mailto:daniel.earle@hmtreasury.gov.uk" xr:uid="{DAA34C92-5654-44DE-BE58-80F5D15B5FB5}"/>
    <hyperlink ref="C727" r:id="rId75" display="mailto:daniel.earle@hmtreasury.gov.uk" xr:uid="{7C014440-7810-4292-AC32-565E5F63B2D6}"/>
  </hyperlinks>
  <pageMargins left="0.7" right="0.7" top="0.75" bottom="0.75" header="0.3" footer="0.3"/>
  <tableParts count="1">
    <tablePart r:id="rId7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UKGI Document" ma:contentTypeID="0x010100F3DA492754083E45834DB37B66A7598000A6C1FD43358953409705173BAE6D7360" ma:contentTypeVersion="12" ma:contentTypeDescription="Create an InfoStore Document" ma:contentTypeScope="" ma:versionID="2811c439d10c7f35bed6712e734e64f2">
  <xsd:schema xmlns:xsd="http://www.w3.org/2001/XMLSchema" xmlns:xs="http://www.w3.org/2001/XMLSchema" xmlns:p="http://schemas.microsoft.com/office/2006/metadata/properties" xmlns:ns1="http://schemas.microsoft.com/sharepoint/v3" xmlns:ns2="0081f10f-e3cf-48bc-a979-2b30417c3fed" xmlns:ns3="c3347f31-a2c7-4617-ab32-bd925cfb2e93" targetNamespace="http://schemas.microsoft.com/office/2006/metadata/properties" ma:root="true" ma:fieldsID="f4200dc308376ad5ffc3bb5c93194e20" ns1:_="" ns2:_="" ns3:_="">
    <xsd:import namespace="http://schemas.microsoft.com/sharepoint/v3"/>
    <xsd:import namespace="0081f10f-e3cf-48bc-a979-2b30417c3fed"/>
    <xsd:import namespace="c3347f31-a2c7-4617-ab32-bd925cfb2e93"/>
    <xsd:element name="properties">
      <xsd:complexType>
        <xsd:sequence>
          <xsd:element name="documentManagement">
            <xsd:complexType>
              <xsd:all>
                <xsd:element ref="ns1:dlc_EmailSubject" minOccurs="0"/>
                <xsd:element ref="ns1:dlc_EmailMailbox" minOccurs="0"/>
                <xsd:element ref="ns1:dlc_EmailTo" minOccurs="0"/>
                <xsd:element ref="ns1:dlc_EmailFrom" minOccurs="0"/>
                <xsd:element ref="ns1:dlc_EmailCC" minOccurs="0"/>
                <xsd:element ref="ns1:dlc_EmailBCC" minOccurs="0"/>
                <xsd:element ref="ns1:dlc_EmailSentUTC" minOccurs="0"/>
                <xsd:element ref="ns1:dlc_EmailReceivedUTC" minOccurs="0"/>
                <xsd:element ref="ns2:HMT_DocumentTypeHTField0" minOccurs="0"/>
                <xsd:element ref="ns2:HMT_Record" minOccurs="0"/>
                <xsd:element ref="ns2:HMT_GroupHTField0" minOccurs="0"/>
                <xsd:element ref="ns2:HMT_TeamHTField0" minOccurs="0"/>
                <xsd:element ref="ns2:HMT_SubTeamHTField0" minOccurs="0"/>
                <xsd:element ref="ns2:HMT_Theme" minOccurs="0"/>
                <xsd:element ref="ns2:HMT_Topic" minOccurs="0"/>
                <xsd:element ref="ns2:HMT_SubTopic" minOccurs="0"/>
                <xsd:element ref="ns2:HMT_CategoryHTField0" minOccurs="0"/>
                <xsd:element ref="ns2:HMT_ClosedOn" minOccurs="0"/>
                <xsd:element ref="ns2:HMT_DeletedOn" minOccurs="0"/>
                <xsd:element ref="ns2:HMT_ArchivedOn" minOccurs="0"/>
                <xsd:element ref="ns2:HMT_LegacyItemID" minOccurs="0"/>
                <xsd:element ref="ns2:HMT_LegacyCreatedBy" minOccurs="0"/>
                <xsd:element ref="ns2:HMT_LegacyModifiedBy" minOccurs="0"/>
                <xsd:element ref="ns2:HMT_LegacyOrigSource" minOccurs="0"/>
                <xsd:element ref="ns2:HMT_LegacyExtRef" minOccurs="0"/>
                <xsd:element ref="ns2:HMT_LegacySensitive" minOccurs="0"/>
                <xsd:element ref="ns2:HMT_LegacyRecord" minOccurs="0"/>
                <xsd:element ref="ns2:HMT_Audit" minOccurs="0"/>
                <xsd:element ref="ns2:HMT_ClosedBy" minOccurs="0"/>
                <xsd:element ref="ns2:HMT_ArchivedBy" minOccurs="0"/>
                <xsd:element ref="ns2:HMT_ClosedArchive" minOccurs="0"/>
                <xsd:element ref="ns2:HMT_ClosedOnOrig" minOccurs="0"/>
                <xsd:element ref="ns2:HMT_ClosedbyOrig" minOccurs="0"/>
                <xsd:element ref="ns2:_dlc_DocIdUrl" minOccurs="0"/>
                <xsd:element ref="ns2:TaxCatchAllLabel" minOccurs="0"/>
                <xsd:element ref="ns2:TaxCatchAll" minOccurs="0"/>
                <xsd:element ref="ns2:b9c42a306c8b47fcbaf8a41a71352f3a" minOccurs="0"/>
                <xsd:element ref="ns2:_dlc_DocId"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lcf76f155ced4ddcb4097134ff3c332f"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lc_EmailSubject" ma:index="0" nillable="true" ma:displayName="Subject" ma:internalName="dlc_EmailSubject">
      <xsd:simpleType>
        <xsd:restriction base="dms:Text">
          <xsd:maxLength value="255"/>
        </xsd:restriction>
      </xsd:simpleType>
    </xsd:element>
    <xsd:element name="dlc_EmailMailbox" ma:index="1" nillable="true" ma:displayName="Submitter" ma:internalName="dlc_EmailMailbox">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lc_EmailTo" ma:index="2" nillable="true" ma:displayName="To" ma:internalName="dlc_EmailTo">
      <xsd:simpleType>
        <xsd:restriction base="dms:Text">
          <xsd:maxLength value="255"/>
        </xsd:restriction>
      </xsd:simpleType>
    </xsd:element>
    <xsd:element name="dlc_EmailFrom" ma:index="3" nillable="true" ma:displayName="From" ma:internalName="dlc_EmailFrom">
      <xsd:simpleType>
        <xsd:restriction base="dms:Text">
          <xsd:maxLength value="255"/>
        </xsd:restriction>
      </xsd:simpleType>
    </xsd:element>
    <xsd:element name="dlc_EmailCC" ma:index="4" nillable="true" ma:displayName="CC" ma:internalName="dlc_EmailCC">
      <xsd:simpleType>
        <xsd:restriction base="dms:Note">
          <xsd:maxLength value="1024"/>
        </xsd:restriction>
      </xsd:simpleType>
    </xsd:element>
    <xsd:element name="dlc_EmailBCC" ma:index="5" nillable="true" ma:displayName="BCC" ma:internalName="dlc_EmailBCC">
      <xsd:simpleType>
        <xsd:restriction base="dms:Note">
          <xsd:maxLength value="1024"/>
        </xsd:restriction>
      </xsd:simpleType>
    </xsd:element>
    <xsd:element name="dlc_EmailSentUTC" ma:index="6" nillable="true" ma:displayName="Date Sent" ma:internalName="dlc_EmailSentUTC">
      <xsd:simpleType>
        <xsd:restriction base="dms:DateTime"/>
      </xsd:simpleType>
    </xsd:element>
    <xsd:element name="dlc_EmailReceivedUTC" ma:index="7" nillable="true" ma:displayName="Date Received" ma:internalName="dlc_EmailReceivedUTC">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0081f10f-e3cf-48bc-a979-2b30417c3fed" elementFormDefault="qualified">
    <xsd:import namespace="http://schemas.microsoft.com/office/2006/documentManagement/types"/>
    <xsd:import namespace="http://schemas.microsoft.com/office/infopath/2007/PartnerControls"/>
    <xsd:element name="HMT_DocumentTypeHTField0" ma:index="9" nillable="true" ma:taxonomy="true" ma:internalName="HMT_DocumentTypeHTField0" ma:taxonomyFieldName="HMT_DocumentType" ma:displayName="Document Type" ma:default="1;#Other|d42d424e-c0d1-4115-a88a-2a71e45f8f37" ma:fieldId="{64e205a0-0872-4e26-9aef-64ca7bdb5848}" ma:sspId="9002b6cd-6bc3-456d-8dd0-19fe32dddaf9" ma:termSetId="275f4141-fe6e-4d3f-ae98-c9edef02afcb" ma:anchorId="c768d115-67b4-4669-bf2c-66f4f24d13e4" ma:open="false" ma:isKeyword="false">
      <xsd:complexType>
        <xsd:sequence>
          <xsd:element ref="pc:Terms" minOccurs="0" maxOccurs="1"/>
        </xsd:sequence>
      </xsd:complexType>
    </xsd:element>
    <xsd:element name="HMT_Record" ma:index="10" nillable="true" ma:displayName="Record" ma:description="Is this document a record?" ma:hidden="true" ma:internalName="HMT_Record" ma:readOnly="true">
      <xsd:simpleType>
        <xsd:restriction base="dms:Boolean"/>
      </xsd:simpleType>
    </xsd:element>
    <xsd:element name="HMT_GroupHTField0" ma:index="12" nillable="true" ma:taxonomy="true" ma:internalName="HMT_GroupHTField0" ma:taxonomyFieldName="HMT_Group" ma:displayName="Organisation unit" ma:readOnly="true" ma:default="" ma:fieldId="{0727aac2-e220-4289-aa2b-5b6dcdadae03}" ma:sspId="9002b6cd-6bc3-456d-8dd0-19fe32dddaf9" ma:termSetId="6ea948ce-d491-4936-bf20-40a3fecdb5ae" ma:anchorId="00000000-0000-0000-0000-000000000000" ma:open="false" ma:isKeyword="false">
      <xsd:complexType>
        <xsd:sequence>
          <xsd:element ref="pc:Terms" minOccurs="0" maxOccurs="1"/>
        </xsd:sequence>
      </xsd:complexType>
    </xsd:element>
    <xsd:element name="HMT_TeamHTField0" ma:index="14" nillable="true" ma:taxonomy="true" ma:internalName="HMT_TeamHTField0" ma:taxonomyFieldName="HMT_Team" ma:displayName="Team" ma:readOnly="true" ma:default="" ma:fieldId="{2eefa5c6-211a-4a5e-9a50-7e1c1c1599ef}" ma:sspId="9002b6cd-6bc3-456d-8dd0-19fe32dddaf9" ma:termSetId="6ea948ce-d491-4936-bf20-40a3fecdb5ae" ma:anchorId="00000000-0000-0000-0000-000000000000" ma:open="false" ma:isKeyword="false">
      <xsd:complexType>
        <xsd:sequence>
          <xsd:element ref="pc:Terms" minOccurs="0" maxOccurs="1"/>
        </xsd:sequence>
      </xsd:complexType>
    </xsd:element>
    <xsd:element name="HMT_SubTeamHTField0" ma:index="16" nillable="true" ma:taxonomy="true" ma:internalName="HMT_SubTeamHTField0" ma:taxonomyFieldName="HMT_SubTeam" ma:displayName="Sub Team" ma:readOnly="true" ma:default="" ma:fieldId="{1b8bc039-1a2e-4089-a24d-47de9e4a6672}" ma:sspId="9002b6cd-6bc3-456d-8dd0-19fe32dddaf9" ma:termSetId="6ea948ce-d491-4936-bf20-40a3fecdb5ae" ma:anchorId="00000000-0000-0000-0000-000000000000" ma:open="false" ma:isKeyword="false">
      <xsd:complexType>
        <xsd:sequence>
          <xsd:element ref="pc:Terms" minOccurs="0" maxOccurs="1"/>
        </xsd:sequence>
      </xsd:complexType>
    </xsd:element>
    <xsd:element name="HMT_Theme" ma:index="17" nillable="true" ma:displayName="Library" ma:description="Document library theme" ma:hidden="true" ma:internalName="HMT_Theme" ma:readOnly="true">
      <xsd:simpleType>
        <xsd:restriction base="dms:Text"/>
      </xsd:simpleType>
    </xsd:element>
    <xsd:element name="HMT_Topic" ma:index="18" nillable="true" ma:displayName="Topic" ma:description="Topic" ma:hidden="true" ma:internalName="HMT_Topic" ma:readOnly="true">
      <xsd:simpleType>
        <xsd:restriction base="dms:Text"/>
      </xsd:simpleType>
    </xsd:element>
    <xsd:element name="HMT_SubTopic" ma:index="19" nillable="true" ma:displayName="Sub Topic" ma:description="Sub topic" ma:hidden="true" ma:internalName="HMT_SubTopic" ma:readOnly="true">
      <xsd:simpleType>
        <xsd:restriction base="dms:Text"/>
      </xsd:simpleType>
    </xsd:element>
    <xsd:element name="HMT_CategoryHTField0" ma:index="21" nillable="true" ma:taxonomy="true" ma:internalName="HMT_CategoryHTField0" ma:taxonomyFieldName="HMT_Category" ma:displayName="Category" ma:readOnly="true" ma:default="" ma:fieldId="{03bf77b0-a02d-47ea-8bec-4fb357d1f3ee}" ma:sspId="9002b6cd-6bc3-456d-8dd0-19fe32dddaf9" ma:termSetId="275f4141-fe6e-4d3f-ae98-c9edef02afcb" ma:anchorId="00000000-0000-0000-0000-000000000000" ma:open="false" ma:isKeyword="false">
      <xsd:complexType>
        <xsd:sequence>
          <xsd:element ref="pc:Terms" minOccurs="0" maxOccurs="1"/>
        </xsd:sequence>
      </xsd:complexType>
    </xsd:element>
    <xsd:element name="HMT_ClosedOn" ma:index="23" nillable="true" ma:displayName="Closed On" ma:description="The date this item was closed on" ma:format="DateTime" ma:hidden="true" ma:internalName="HMT_ClosedOn" ma:readOnly="true">
      <xsd:simpleType>
        <xsd:restriction base="dms:DateTime"/>
      </xsd:simpleType>
    </xsd:element>
    <xsd:element name="HMT_DeletedOn" ma:index="24" nillable="true" ma:displayName="Deleted On" ma:description="The date this item was deleted on" ma:format="DateTime" ma:hidden="true" ma:internalName="HMT_DeletedOn" ma:readOnly="true">
      <xsd:simpleType>
        <xsd:restriction base="dms:DateTime"/>
      </xsd:simpleType>
    </xsd:element>
    <xsd:element name="HMT_ArchivedOn" ma:index="25" nillable="true" ma:displayName="Archived On" ma:description="The date this item was archived on" ma:format="DateTime" ma:hidden="true" ma:internalName="HMT_ArchivedOn" ma:readOnly="true">
      <xsd:simpleType>
        <xsd:restriction base="dms:DateTime"/>
      </xsd:simpleType>
    </xsd:element>
    <xsd:element name="HMT_LegacyItemID" ma:index="26" nillable="true" ma:displayName="Legacy Item ID" ma:hidden="true" ma:internalName="HMT_LegacyItemID" ma:readOnly="true">
      <xsd:simpleType>
        <xsd:restriction base="dms:Text"/>
      </xsd:simpleType>
    </xsd:element>
    <xsd:element name="HMT_LegacyCreatedBy" ma:index="27" nillable="true" ma:displayName="Legacy Created By" ma:hidden="true" ma:internalName="HMT_LegacyCreatedBy" ma:readOnly="true">
      <xsd:simpleType>
        <xsd:restriction base="dms:Text"/>
      </xsd:simpleType>
    </xsd:element>
    <xsd:element name="HMT_LegacyModifiedBy" ma:index="28" nillable="true" ma:displayName="Legacy Modified By" ma:hidden="true" ma:internalName="HMT_LegacyModifiedBy" ma:readOnly="true">
      <xsd:simpleType>
        <xsd:restriction base="dms:Text"/>
      </xsd:simpleType>
    </xsd:element>
    <xsd:element name="HMT_LegacyOrigSource" ma:index="29" nillable="true" ma:displayName="Original Source" ma:hidden="true" ma:internalName="HMT_LegacyOrigSource" ma:readOnly="true">
      <xsd:simpleType>
        <xsd:restriction base="dms:Text"/>
      </xsd:simpleType>
    </xsd:element>
    <xsd:element name="HMT_LegacyExtRef" ma:index="30" nillable="true" ma:displayName="External Reference" ma:hidden="true" ma:internalName="HMT_LegacyExtRef" ma:readOnly="true">
      <xsd:simpleType>
        <xsd:restriction base="dms:Text"/>
      </xsd:simpleType>
    </xsd:element>
    <xsd:element name="HMT_LegacySensitive" ma:index="31" nillable="true" ma:displayName="Sensitive Item" ma:default="0" ma:hidden="true" ma:internalName="HMT_LegacySensitive" ma:readOnly="true">
      <xsd:simpleType>
        <xsd:restriction base="dms:Boolean"/>
      </xsd:simpleType>
    </xsd:element>
    <xsd:element name="HMT_LegacyRecord" ma:index="32" nillable="true" ma:displayName="Legacy Record" ma:default="0" ma:hidden="true" ma:internalName="HMT_LegacyRecord" ma:readOnly="true">
      <xsd:simpleType>
        <xsd:restriction base="dms:Boolean"/>
      </xsd:simpleType>
    </xsd:element>
    <xsd:element name="HMT_Audit" ma:index="33" nillable="true" ma:displayName="Audit Log" ma:description="Audit Log" ma:internalName="HMT_Audit" ma:readOnly="true">
      <xsd:simpleType>
        <xsd:restriction base="dms:Note">
          <xsd:maxLength value="255"/>
        </xsd:restriction>
      </xsd:simpleType>
    </xsd:element>
    <xsd:element name="HMT_ClosedBy" ma:index="34" nillable="true" ma:displayName="Closed By" ma:description="Who closed this item" ma:hidden="true" ma:list="UserInfo" ma:internalName="HMT_Closed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HMT_ArchivedBy" ma:index="35" nillable="true" ma:displayName="Archived By" ma:description="Who archived this item" ma:hidden="true" ma:list="UserInfo" ma:internalName="HMT_Archived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HMT_ClosedArchive" ma:index="36" nillable="true" ma:displayName="Closed Archive" ma:default="0" ma:description="Item sent to closed archive" ma:hidden="true" ma:internalName="HMT_ClosedArchive" ma:readOnly="true">
      <xsd:simpleType>
        <xsd:restriction base="dms:Boolean"/>
      </xsd:simpleType>
    </xsd:element>
    <xsd:element name="HMT_ClosedOnOrig" ma:index="37" nillable="true" ma:displayName="Original Closed On" ma:description="The date this item was originally closed on" ma:format="DateTime" ma:hidden="true" ma:internalName="HMT_ClosedOnOrig" ma:readOnly="true">
      <xsd:simpleType>
        <xsd:restriction base="dms:DateTime"/>
      </xsd:simpleType>
    </xsd:element>
    <xsd:element name="HMT_ClosedbyOrig" ma:index="38" nillable="true" ma:displayName="Original Closed By" ma:description="Who originally closed this item" ma:hidden="true" ma:list="UserInfo" ma:internalName="HMT_ClosedbyOrig">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dlc_DocIdUrl" ma:index="46"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TaxCatchAllLabel" ma:index="47" nillable="true" ma:displayName="Taxonomy Catch All Column1" ma:hidden="true" ma:list="{d25cab0d-b849-467f-86b2-b6e747b41da9}" ma:internalName="TaxCatchAllLabel" ma:readOnly="true" ma:showField="CatchAllDataLabel" ma:web="0081f10f-e3cf-48bc-a979-2b30417c3fed">
      <xsd:complexType>
        <xsd:complexContent>
          <xsd:extension base="dms:MultiChoiceLookup">
            <xsd:sequence>
              <xsd:element name="Value" type="dms:Lookup" maxOccurs="unbounded" minOccurs="0" nillable="true"/>
            </xsd:sequence>
          </xsd:extension>
        </xsd:complexContent>
      </xsd:complexType>
    </xsd:element>
    <xsd:element name="TaxCatchAll" ma:index="48" nillable="true" ma:displayName="Taxonomy Catch All Column" ma:hidden="true" ma:list="{d25cab0d-b849-467f-86b2-b6e747b41da9}" ma:internalName="TaxCatchAll" ma:showField="CatchAllData" ma:web="0081f10f-e3cf-48bc-a979-2b30417c3fed">
      <xsd:complexType>
        <xsd:complexContent>
          <xsd:extension base="dms:MultiChoiceLookup">
            <xsd:sequence>
              <xsd:element name="Value" type="dms:Lookup" maxOccurs="unbounded" minOccurs="0" nillable="true"/>
            </xsd:sequence>
          </xsd:extension>
        </xsd:complexContent>
      </xsd:complexType>
    </xsd:element>
    <xsd:element name="b9c42a306c8b47fcbaf8a41a71352f3a" ma:index="49" nillable="true" ma:taxonomy="true" ma:internalName="b9c42a306c8b47fcbaf8a41a71352f3a" ma:taxonomyFieldName="HMT_Classification" ma:displayName="Classification" ma:readOnly="true" ma:default="" ma:fieldId="{b9c42a30-6c8b-47fc-baf8-a41a71352f3a}" ma:sspId="9002b6cd-6bc3-456d-8dd0-19fe32dddaf9" ma:termSetId="3318d3eb-a1f9-4659-922c-e1dff577c569" ma:anchorId="00000000-0000-0000-0000-000000000000" ma:open="false" ma:isKeyword="false">
      <xsd:complexType>
        <xsd:sequence>
          <xsd:element ref="pc:Terms" minOccurs="0" maxOccurs="1"/>
        </xsd:sequence>
      </xsd:complexType>
    </xsd:element>
    <xsd:element name="_dlc_DocId" ma:index="50" nillable="true" ma:displayName="Document ID Value" ma:description="The value of the document ID assigned to this item." ma:indexed="true" ma:internalName="_dlc_DocId" ma:readOnly="true">
      <xsd:simpleType>
        <xsd:restriction base="dms:Text"/>
      </xsd:simpleType>
    </xsd:element>
    <xsd:element name="_dlc_DocIdPersistId" ma:index="51"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c3347f31-a2c7-4617-ab32-bd925cfb2e93" elementFormDefault="qualified">
    <xsd:import namespace="http://schemas.microsoft.com/office/2006/documentManagement/types"/>
    <xsd:import namespace="http://schemas.microsoft.com/office/infopath/2007/PartnerControls"/>
    <xsd:element name="MediaServiceMetadata" ma:index="54" nillable="true" ma:displayName="MediaServiceMetadata" ma:hidden="true" ma:internalName="MediaServiceMetadata" ma:readOnly="true">
      <xsd:simpleType>
        <xsd:restriction base="dms:Note"/>
      </xsd:simpleType>
    </xsd:element>
    <xsd:element name="MediaServiceFastMetadata" ma:index="55" nillable="true" ma:displayName="MediaServiceFastMetadata" ma:hidden="true" ma:internalName="MediaServiceFastMetadata" ma:readOnly="true">
      <xsd:simpleType>
        <xsd:restriction base="dms:Note"/>
      </xsd:simpleType>
    </xsd:element>
    <xsd:element name="MediaServiceSearchProperties" ma:index="56" nillable="true" ma:displayName="MediaServiceSearchProperties" ma:hidden="true" ma:internalName="MediaServiceSearchProperties" ma:readOnly="true">
      <xsd:simpleType>
        <xsd:restriction base="dms:Note"/>
      </xsd:simpleType>
    </xsd:element>
    <xsd:element name="MediaServiceObjectDetectorVersions" ma:index="57" nillable="true" ma:displayName="MediaServiceObjectDetectorVersions" ma:hidden="true" ma:indexed="true" ma:internalName="MediaServiceObjectDetectorVersions" ma:readOnly="true">
      <xsd:simpleType>
        <xsd:restriction base="dms:Text"/>
      </xsd:simpleType>
    </xsd:element>
    <xsd:element name="MediaServiceDateTaken" ma:index="58" nillable="true" ma:displayName="MediaServiceDateTaken" ma:hidden="true" ma:indexed="true" ma:internalName="MediaServiceDateTaken" ma:readOnly="true">
      <xsd:simpleType>
        <xsd:restriction base="dms:Text"/>
      </xsd:simpleType>
    </xsd:element>
    <xsd:element name="MediaServiceGenerationTime" ma:index="59" nillable="true" ma:displayName="MediaServiceGenerationTime" ma:hidden="true" ma:internalName="MediaServiceGenerationTime" ma:readOnly="true">
      <xsd:simpleType>
        <xsd:restriction base="dms:Text"/>
      </xsd:simpleType>
    </xsd:element>
    <xsd:element name="MediaServiceEventHashCode" ma:index="60" nillable="true" ma:displayName="MediaServiceEventHashCode" ma:hidden="true" ma:internalName="MediaServiceEventHashCode" ma:readOnly="true">
      <xsd:simpleType>
        <xsd:restriction base="dms:Text"/>
      </xsd:simpleType>
    </xsd:element>
    <xsd:element name="lcf76f155ced4ddcb4097134ff3c332f" ma:index="62" nillable="true" ma:taxonomy="true" ma:internalName="lcf76f155ced4ddcb4097134ff3c332f" ma:taxonomyFieldName="MediaServiceImageTags" ma:displayName="Image Tags" ma:readOnly="false" ma:fieldId="{5cf76f15-5ced-4ddc-b409-7134ff3c332f}" ma:taxonomyMulti="true" ma:sspId="9002b6cd-6bc3-456d-8dd0-19fe32dddaf9" ma:termSetId="09814cd3-568e-fe90-9814-8d621ff8fb84" ma:anchorId="fba54fb3-c3e1-fe81-a776-ca4b69148c4d" ma:open="true" ma:isKeyword="false">
      <xsd:complexType>
        <xsd:sequence>
          <xsd:element ref="pc:Terms" minOccurs="0" maxOccurs="1"/>
        </xsd:sequence>
      </xsd:complexType>
    </xsd:element>
    <xsd:element name="MediaServiceOCR" ma:index="63"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3"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HMT_LegacyRecord xmlns="0081f10f-e3cf-48bc-a979-2b30417c3fed">false</HMT_LegacyRecord>
    <_dlc_DocId xmlns="0081f10f-e3cf-48bc-a979-2b30417c3fed">UKGIPRJCTDATAA-896682001-10174</_dlc_DocId>
    <TaxCatchAll xmlns="0081f10f-e3cf-48bc-a979-2b30417c3fed">
      <Value>1</Value>
    </TaxCatchAll>
    <HMT_DocumentTypeHTField0 xmlns="0081f10f-e3cf-48bc-a979-2b30417c3fed">
      <Terms xmlns="http://schemas.microsoft.com/office/infopath/2007/PartnerControls">
        <TermInfo xmlns="http://schemas.microsoft.com/office/infopath/2007/PartnerControls">
          <TermName xmlns="http://schemas.microsoft.com/office/infopath/2007/PartnerControls">Other</TermName>
          <TermId xmlns="http://schemas.microsoft.com/office/infopath/2007/PartnerControls">d42d424e-c0d1-4115-a88a-2a71e45f8f37</TermId>
        </TermInfo>
      </Terms>
    </HMT_DocumentTypeHTField0>
    <HMT_LegacySensitive xmlns="0081f10f-e3cf-48bc-a979-2b30417c3fed">false</HMT_LegacySensitive>
    <_dlc_DocIdUrl xmlns="0081f10f-e3cf-48bc-a979-2b30417c3fed">
      <Url>https://tris42.sharepoint.com/sites/ukgi_prjct_dataandanalytics/_layouts/15/DocIdRedir.aspx?ID=UKGIPRJCTDATAA-896682001-10174</Url>
      <Description>UKGIPRJCTDATAA-896682001-10174</Description>
    </_dlc_DocIdUrl>
    <HMT_ClosedArchive xmlns="0081f10f-e3cf-48bc-a979-2b30417c3fed">false</HMT_ClosedArchive>
    <dlc_EmailBCC xmlns="http://schemas.microsoft.com/sharepoint/v3" xsi:nil="true"/>
    <HMT_ClosedbyOrig xmlns="0081f10f-e3cf-48bc-a979-2b30417c3fed">
      <UserInfo>
        <DisplayName/>
        <AccountId xsi:nil="true"/>
        <AccountType/>
      </UserInfo>
    </HMT_ClosedbyOrig>
    <lcf76f155ced4ddcb4097134ff3c332f xmlns="c3347f31-a2c7-4617-ab32-bd925cfb2e93">
      <Terms xmlns="http://schemas.microsoft.com/office/infopath/2007/PartnerControls"/>
    </lcf76f155ced4ddcb4097134ff3c332f>
    <dlc_EmailReceivedUTC xmlns="http://schemas.microsoft.com/sharepoint/v3" xsi:nil="true"/>
    <dlc_EmailSentUTC xmlns="http://schemas.microsoft.com/sharepoint/v3" xsi:nil="true"/>
    <dlc_EmailSubject xmlns="http://schemas.microsoft.com/sharepoint/v3" xsi:nil="true"/>
    <dlc_EmailTo xmlns="http://schemas.microsoft.com/sharepoint/v3" xsi:nil="true"/>
    <dlc_EmailFrom xmlns="http://schemas.microsoft.com/sharepoint/v3" xsi:nil="true"/>
    <dlc_EmailCC xmlns="http://schemas.microsoft.com/sharepoint/v3" xsi:nil="true"/>
    <dlc_EmailMailbox xmlns="http://schemas.microsoft.com/sharepoint/v3">
      <UserInfo>
        <DisplayName/>
        <AccountId xsi:nil="true"/>
        <AccountType/>
      </UserInfo>
    </dlc_EmailMailbox>
    <HMT_SubTeamHTField0 xmlns="0081f10f-e3cf-48bc-a979-2b30417c3fed">
      <Terms xmlns="http://schemas.microsoft.com/office/infopath/2007/PartnerControls"/>
    </HMT_SubTeamHTField0>
    <HMT_TeamHTField0 xmlns="0081f10f-e3cf-48bc-a979-2b30417c3fed">
      <Terms xmlns="http://schemas.microsoft.com/office/infopath/2007/PartnerControls"/>
    </HMT_TeamHTField0>
    <HMT_CategoryHTField0 xmlns="0081f10f-e3cf-48bc-a979-2b30417c3fed">
      <Terms xmlns="http://schemas.microsoft.com/office/infopath/2007/PartnerControls"/>
    </HMT_CategoryHTField0>
    <b9c42a306c8b47fcbaf8a41a71352f3a xmlns="0081f10f-e3cf-48bc-a979-2b30417c3fed">
      <Terms xmlns="http://schemas.microsoft.com/office/infopath/2007/PartnerControls"/>
    </b9c42a306c8b47fcbaf8a41a71352f3a>
    <HMT_GroupHTField0 xmlns="0081f10f-e3cf-48bc-a979-2b30417c3fed">
      <Terms xmlns="http://schemas.microsoft.com/office/infopath/2007/PartnerControls"/>
    </HMT_GroupHTField0>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49D95C7-7F48-4FD7-AF94-4F70D088AC8D}">
  <ds:schemaRefs>
    <ds:schemaRef ds:uri="http://schemas.microsoft.com/sharepoint/events"/>
  </ds:schemaRefs>
</ds:datastoreItem>
</file>

<file path=customXml/itemProps2.xml><?xml version="1.0" encoding="utf-8"?>
<ds:datastoreItem xmlns:ds="http://schemas.openxmlformats.org/officeDocument/2006/customXml" ds:itemID="{EAEF2335-98A8-4E54-9C5E-9BE7794E4B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081f10f-e3cf-48bc-a979-2b30417c3fed"/>
    <ds:schemaRef ds:uri="c3347f31-a2c7-4617-ab32-bd925cfb2e9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D19B34E-6131-49AC-A967-F7550481C570}">
  <ds:schemaRefs>
    <ds:schemaRef ds:uri="http://schemas.microsoft.com/office/2006/metadata/properties"/>
    <ds:schemaRef ds:uri="http://schemas.microsoft.com/office/infopath/2007/PartnerControls"/>
    <ds:schemaRef ds:uri="0081f10f-e3cf-48bc-a979-2b30417c3fed"/>
    <ds:schemaRef ds:uri="http://schemas.microsoft.com/sharepoint/v3"/>
    <ds:schemaRef ds:uri="c3347f31-a2c7-4617-ab32-bd925cfb2e93"/>
  </ds:schemaRefs>
</ds:datastoreItem>
</file>

<file path=customXml/itemProps4.xml><?xml version="1.0" encoding="utf-8"?>
<ds:datastoreItem xmlns:ds="http://schemas.openxmlformats.org/officeDocument/2006/customXml" ds:itemID="{CF5D1B61-AE93-4201-B079-C17FA744998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Validation</vt:lpstr>
      <vt:lpstr>Departmental Domains</vt:lpstr>
      <vt:lpstr>Master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Elks, David - UKGI</dc:creator>
  <cp:keywords/>
  <dc:description/>
  <cp:lastModifiedBy>Elks, David - UKGI</cp:lastModifiedBy>
  <cp:revision/>
  <dcterms:created xsi:type="dcterms:W3CDTF">2025-11-06T17:09:58Z</dcterms:created>
  <dcterms:modified xsi:type="dcterms:W3CDTF">2025-11-24T12:03:28Z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0x010100F3DA492754083E45834DB37B66A7598000A6C1FD43358953409705173BAE6D7360</vt:lpwstr>
  </property>
  <property fmtid="{D5CDD505-2E9C-101B-9397-08002B2CF9AE}" pid="3" name="_dlc_DocIdItemGuid">
    <vt:lpwstr>e3470fb0-c95b-4989-9eb1-3c91922e0a2c</vt:lpwstr>
  </property>
  <property fmtid="{D5CDD505-2E9C-101B-9397-08002B2CF9AE}" pid="4" name="HMT_DocumentType">
    <vt:lpwstr>1;#Other|d42d424e-c0d1-4115-a88a-2a71e45f8f37</vt:lpwstr>
  </property>
  <property fmtid="{D5CDD505-2E9C-101B-9397-08002B2CF9AE}" pid="5" name="HMT_Group">
    <vt:lpwstr/>
  </property>
  <property fmtid="{D5CDD505-2E9C-101B-9397-08002B2CF9AE}" pid="6" name="MediaServiceImageTags">
    <vt:lpwstr/>
  </property>
  <property fmtid="{D5CDD505-2E9C-101B-9397-08002B2CF9AE}" pid="7" name="HMT_Category">
    <vt:lpwstr/>
  </property>
  <property fmtid="{D5CDD505-2E9C-101B-9397-08002B2CF9AE}" pid="8" name="HMT_Classification">
    <vt:lpwstr/>
  </property>
  <property fmtid="{D5CDD505-2E9C-101B-9397-08002B2CF9AE}" pid="9" name="HMT_SubTeam">
    <vt:lpwstr/>
  </property>
  <property fmtid="{D5CDD505-2E9C-101B-9397-08002B2CF9AE}" pid="10" name="HMT_Team">
    <vt:lpwstr/>
  </property>
</Properties>
</file>